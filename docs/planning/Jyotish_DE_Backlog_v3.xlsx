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Epics" sheetId="2" state="visible" r:id="rId2"/>
    <sheet name="User Stories" sheetId="3" state="visible" r:id="rId3"/>
    <sheet name="Release Plan" sheetId="4" state="visible" r:id="rId4"/>
    <sheet name="Tech Launch Checklist" sheetId="5" state="visible" r:id="rId5"/>
    <sheet name="Vendors &amp; Costs" sheetId="6" state="visible" r:id="rId6"/>
    <sheet name="Team &amp; Effort" sheetId="7" state="visible" r:id="rId7"/>
    <sheet name="Summary" sheetId="8" state="visible" r:id="rId8"/>
  </sheets>
  <definedNames>
    <definedName name="_xlnm._FilterDatabase" localSheetId="2" hidden="1">'User Stories'!$A$1:$M$114</definedName>
    <definedName name="_xlnm._FilterDatabase" localSheetId="4" hidden="1">'Tech Launch Checklist'!$A$1:$G$50</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Arial"/>
      <b val="1"/>
      <color rgb="001F3864"/>
      <sz val="16"/>
    </font>
    <font>
      <name val="Arial"/>
      <i val="1"/>
      <color rgb="00555555"/>
      <sz val="11"/>
    </font>
    <font>
      <name val="Arial"/>
      <b val="1"/>
      <color rgb="001F3864"/>
      <sz val="12"/>
    </font>
    <font>
      <name val="Arial"/>
      <b val="1"/>
      <sz val="10"/>
    </font>
    <font>
      <name val="Arial"/>
      <sz val="10"/>
    </font>
    <font>
      <name val="Arial"/>
      <b val="1"/>
      <color rgb="00FFFFFF"/>
      <sz val="10"/>
    </font>
    <font>
      <name val="Arial"/>
      <b val="1"/>
      <color rgb="00C00000"/>
      <sz val="10"/>
    </font>
    <font>
      <name val="Arial"/>
      <b val="1"/>
      <color rgb="00BF8F00"/>
      <sz val="10"/>
    </font>
    <font>
      <name val="Arial"/>
      <b val="1"/>
      <color rgb="00548235"/>
      <sz val="10"/>
    </font>
    <font>
      <name val="Arial"/>
      <b val="1"/>
      <color rgb="001F3864"/>
      <sz val="11"/>
    </font>
    <font>
      <name val="Arial"/>
      <color rgb="000000FF"/>
      <sz val="10"/>
    </font>
    <font>
      <name val="Arial"/>
      <i val="1"/>
      <color rgb="00666666"/>
      <sz val="9"/>
    </font>
  </fonts>
  <fills count="9">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
      <patternFill patternType="solid">
        <fgColor rgb="00E2EFDA"/>
      </patternFill>
    </fill>
    <fill>
      <patternFill patternType="solid">
        <fgColor rgb="00D9E2F3"/>
      </patternFill>
    </fill>
    <fill>
      <patternFill patternType="solid">
        <fgColor rgb="00C6E0B4"/>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5" fillId="0" borderId="0" applyAlignment="1" pivotButton="0" quotePrefix="0" xfId="0">
      <alignment vertical="top" wrapText="1"/>
    </xf>
    <xf numFmtId="0" fontId="3" fillId="0" borderId="0" pivotButton="0" quotePrefix="0" xfId="0"/>
    <xf numFmtId="0" fontId="6" fillId="3" borderId="1" applyAlignment="1" pivotButton="0" quotePrefix="0" xfId="0">
      <alignment vertical="center" wrapText="1"/>
    </xf>
    <xf numFmtId="0" fontId="5" fillId="4" borderId="1" applyAlignment="1" pivotButton="0" quotePrefix="0" xfId="0">
      <alignment vertical="top"/>
    </xf>
    <xf numFmtId="0" fontId="5" fillId="4" borderId="1" applyAlignment="1" pivotButton="0" quotePrefix="0" xfId="0">
      <alignment vertical="top" wrapText="1"/>
    </xf>
    <xf numFmtId="0" fontId="5"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5" fillId="5" borderId="1" applyAlignment="1" pivotButton="0" quotePrefix="0" xfId="0">
      <alignment vertical="top"/>
    </xf>
    <xf numFmtId="0" fontId="5" fillId="5" borderId="1" applyAlignment="1" pivotButton="0" quotePrefix="0" xfId="0">
      <alignment vertical="top" wrapText="1"/>
    </xf>
    <xf numFmtId="0" fontId="7" fillId="4"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vertical="top"/>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8" fillId="0" borderId="1" applyAlignment="1" pivotButton="0" quotePrefix="0" xfId="0">
      <alignment horizontal="center" vertical="top"/>
    </xf>
    <xf numFmtId="0" fontId="8" fillId="4" borderId="1" applyAlignment="1" pivotButton="0" quotePrefix="0" xfId="0">
      <alignment horizontal="center" vertical="top"/>
    </xf>
    <xf numFmtId="0" fontId="9" fillId="4" borderId="1" applyAlignment="1" pivotButton="0" quotePrefix="0" xfId="0">
      <alignment horizontal="center" vertical="top"/>
    </xf>
    <xf numFmtId="0" fontId="5" fillId="7" borderId="1" applyAlignment="1" pivotButton="0" quotePrefix="0" xfId="0">
      <alignment vertical="top"/>
    </xf>
    <xf numFmtId="0" fontId="9" fillId="0" borderId="1" applyAlignment="1" pivotButton="0" quotePrefix="0" xfId="0">
      <alignment horizontal="center" vertical="top"/>
    </xf>
    <xf numFmtId="0" fontId="5" fillId="8" borderId="1" applyAlignment="1" pivotButton="0" quotePrefix="0" xfId="0">
      <alignment vertical="top"/>
    </xf>
    <xf numFmtId="164" fontId="5" fillId="4" borderId="1" applyAlignment="1" pivotButton="0" quotePrefix="0" xfId="0">
      <alignment vertical="top"/>
    </xf>
    <xf numFmtId="164" fontId="5" fillId="0" borderId="1" applyAlignment="1" pivotButton="0" quotePrefix="0" xfId="0">
      <alignment vertical="top"/>
    </xf>
    <xf numFmtId="0" fontId="10" fillId="0" borderId="0" pivotButton="0" quotePrefix="0" xfId="0"/>
    <xf numFmtId="0" fontId="5" fillId="0" borderId="0" pivotButton="0" quotePrefix="0" xfId="0"/>
    <xf numFmtId="4" fontId="11" fillId="0" borderId="0" pivotButton="0" quotePrefix="0" xfId="0"/>
    <xf numFmtId="0" fontId="12" fillId="0" borderId="0" pivotButton="0" quotePrefix="0" xfId="0"/>
    <xf numFmtId="165" fontId="11" fillId="0" borderId="0" pivotButton="0" quotePrefix="0" xfId="0"/>
    <xf numFmtId="4" fontId="0" fillId="0" borderId="0" pivotButton="0" quotePrefix="0" xfId="0"/>
    <xf numFmtId="4" fontId="4" fillId="0" borderId="0" pivotButton="0" quotePrefix="0" xfId="0"/>
    <xf numFmtId="165" fontId="4" fillId="0" borderId="0" pivotButton="0" quotePrefix="0" xfId="0"/>
    <xf numFmtId="3" fontId="4" fillId="0" borderId="0" pivotButton="0" quotePrefix="0" xfId="0"/>
    <xf numFmtId="0" fontId="6" fillId="3"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4" customWidth="1" min="1" max="1"/>
    <col width="118" customWidth="1" min="2" max="2"/>
  </cols>
  <sheetData>
    <row r="1">
      <c r="A1" s="1" t="inlineStr">
        <is>
          <t>Jyotish DE - Vedic Astrology App for the German Market</t>
        </is>
      </c>
    </row>
    <row r="2">
      <c r="A2" s="2" t="inlineStr">
        <is>
          <t>Commercial build: free chart + free career fit feature + EUR 11 expert kundali evaluation</t>
        </is>
      </c>
    </row>
    <row r="4">
      <c r="A4" s="3" t="inlineStr">
        <is>
          <t>Prepared for</t>
        </is>
      </c>
      <c r="B4" s="4" t="inlineStr">
        <is>
          <t>Siddharth Kala</t>
        </is>
      </c>
    </row>
    <row r="5">
      <c r="A5" s="3" t="inlineStr">
        <is>
          <t>Date</t>
        </is>
      </c>
      <c r="B5" s="4" t="inlineStr">
        <is>
          <t>1 August 2026</t>
        </is>
      </c>
    </row>
    <row r="6">
      <c r="A6" s="3" t="inlineStr">
        <is>
          <t>Version</t>
        </is>
      </c>
      <c r="B6" s="4" t="inlineStr">
        <is>
          <t>v3 - supersedes the earlier paid-model and free-app plans</t>
        </is>
      </c>
    </row>
    <row r="7">
      <c r="A7" s="3" t="inlineStr">
        <is>
          <t>Paid product</t>
        </is>
      </c>
      <c r="B7" s="4" t="inlineStr">
        <is>
          <t>Expert kundali evaluation - EUR 11.00 incl. 19% German VAT</t>
        </is>
      </c>
    </row>
    <row r="8">
      <c r="A8" s="3" t="inlineStr">
        <is>
          <t>Free hook</t>
        </is>
      </c>
      <c r="B8" s="4" t="inlineStr">
        <is>
          <t>Career &amp; Industry Fit: pick an industry, see strengths, growth areas and suggested roles</t>
        </is>
      </c>
    </row>
    <row r="9">
      <c r="A9" s="3" t="inlineStr">
        <is>
          <t>Target market</t>
        </is>
      </c>
      <c r="B9" s="4" t="inlineStr">
        <is>
          <t>Germany (primary), Austria and Switzerland (secondary)</t>
        </is>
      </c>
    </row>
    <row r="10">
      <c r="A10" s="3" t="inlineStr">
        <is>
          <t>Platform</t>
        </is>
      </c>
      <c r="B10" s="4" t="inlineStr">
        <is>
          <t>Flutter app (iOS + Android) + web consoles for astrologers and admin</t>
        </is>
      </c>
    </row>
    <row r="11">
      <c r="A11" s="3" t="inlineStr">
        <is>
          <t>Payments</t>
        </is>
      </c>
      <c r="B11" s="4" t="inlineStr">
        <is>
          <t>Stripe web checkout - SEPA, Klarna, PayPal, cards, Apple/Google Pay (not store IAP)</t>
        </is>
      </c>
    </row>
    <row r="12">
      <c r="A12" s="3" t="inlineStr">
        <is>
          <t>Engine</t>
        </is>
      </c>
      <c r="B12" s="4" t="inlineStr">
        <is>
          <t>Swiss Ephemeris FREE edition (AGPL-3.0), run CLIENT-SIDE only</t>
        </is>
      </c>
    </row>
    <row r="13">
      <c r="A13" s="3" t="inlineStr"/>
    </row>
    <row r="14">
      <c r="A14" s="5" t="inlineStr">
        <is>
          <t>THE AGPL DECISION - READ THIS FIRST</t>
        </is>
      </c>
    </row>
    <row r="15">
      <c r="A15" s="3" t="inlineStr">
        <is>
          <t>The problem</t>
        </is>
      </c>
      <c r="B15" s="4" t="inlineStr">
        <is>
          <t>The free Swiss Ephemeris is AGPL-3.0. Any code that calls it and serves users over a network must be published as open source. Running it on your backend would force you to open-source your entire commercial platform.</t>
        </is>
      </c>
    </row>
    <row r="16">
      <c r="A16" s="3" t="inlineStr">
        <is>
          <t>The solution</t>
        </is>
      </c>
      <c r="B16" s="4" t="inlineStr">
        <is>
          <t>Run the ephemeris CLIENT-SIDE ONLY. In the mobile app via Dart FFI, in the astrologer console via WebAssembly. Publish one small package - bindings, WASM build, rule evaluator - as a public AGPL repo.</t>
        </is>
      </c>
    </row>
    <row r="17">
      <c r="A17" s="3" t="inlineStr">
        <is>
          <t>What stays private</t>
        </is>
      </c>
      <c r="B17" s="4" t="inlineStr">
        <is>
          <t>Your backend, order and payment logic, astrologer console business logic, the industry-to-Jyotish mapping rules, all written content, and the astrologer marketplace.</t>
        </is>
      </c>
    </row>
    <row r="18">
      <c r="A18" s="3" t="inlineStr">
        <is>
          <t>What becomes public</t>
        </is>
      </c>
      <c r="B18" s="4" t="inlineStr">
        <is>
          <t>Only the engine wrapper package. It contains no business logic and no competitive advantage.</t>
        </is>
      </c>
    </row>
    <row r="19">
      <c r="A19" s="3" t="inlineStr">
        <is>
          <t>Cost saved</t>
        </is>
      </c>
      <c r="B19" s="4" t="inlineStr">
        <is>
          <t>CHF 750 (~EUR 800) one-off. Small - but the licence question had to be answered either way.</t>
        </is>
      </c>
    </row>
    <row r="20">
      <c r="A20" s="3" t="inlineStr">
        <is>
          <t>Action required</t>
        </is>
      </c>
      <c r="B20" s="4" t="inlineStr">
        <is>
          <t>US-030 covers this. Have a software-licensing lawyer confirm the boundary before launch. This is the single most important technical decision in the plan.</t>
        </is>
      </c>
    </row>
    <row r="21">
      <c r="A21" s="3" t="inlineStr"/>
    </row>
    <row r="22">
      <c r="A22" s="5" t="inlineStr">
        <is>
          <t>THE CAREER FEATURE (E16)</t>
        </is>
      </c>
    </row>
    <row r="23">
      <c r="A23" s="3" t="inlineStr">
        <is>
          <t>What it is</t>
        </is>
      </c>
      <c r="B23" s="4" t="inlineStr">
        <is>
          <t>The user picks an industry. The app shows where they are naturally strong, where they will need more effort, and which roles within that industry suit them - all derived from classical Jyotish career indicators.</t>
        </is>
      </c>
    </row>
    <row r="24">
      <c r="A24" s="3" t="inlineStr">
        <is>
          <t>How it works</t>
        </is>
      </c>
      <c r="B24" s="4" t="inlineStr">
        <is>
          <t>10th house and its lord, D10 Dashamsha chart, Amatyakaraka, and the career grahas (Saturn, Mercury, Jupiter, Sun, Mars, Venus), weighted by dignity and cross-referenced with the current dasha.</t>
        </is>
      </c>
    </row>
    <row r="25">
      <c r="A25" s="3" t="inlineStr">
        <is>
          <t>Why it matters</t>
        </is>
      </c>
      <c r="B25" s="4" t="inlineStr">
        <is>
          <t>It is the strongest free hook in the product. Career is the question people actually search for, and it feeds directly into the EUR 11 report.</t>
        </is>
      </c>
    </row>
    <row r="26">
      <c r="A26" s="3" t="inlineStr">
        <is>
          <t>Deliberately NOT built</t>
        </is>
      </c>
      <c r="B26" s="4" t="inlineStr">
        <is>
          <t>The recruiter/employer version. An astrology tool used by an employer to assess a candidate is high-risk under the EU AI Act, engages GDPR Article 22 on automated decisions, and creates AGG discrimination exposure because birth date is an age proxy. US-102 contractually restricts the feature to personal use.</t>
        </is>
      </c>
    </row>
    <row r="27">
      <c r="A27" s="3" t="inlineStr"/>
    </row>
    <row r="28">
      <c r="A28" s="5" t="inlineStr">
        <is>
          <t>HOW TO USE THIS WORKBOOK</t>
        </is>
      </c>
    </row>
    <row r="29">
      <c r="A29" s="3" t="inlineStr">
        <is>
          <t>Tab</t>
        </is>
      </c>
      <c r="B29" s="4" t="inlineStr">
        <is>
          <t>What it contains</t>
        </is>
      </c>
    </row>
    <row r="30">
      <c r="A30" s="3" t="inlineStr">
        <is>
          <t>Epics</t>
        </is>
      </c>
      <c r="B30" s="4" t="inlineStr">
        <is>
          <t>16 epics with goal, business value, target release and owning role.</t>
        </is>
      </c>
    </row>
    <row r="31">
      <c r="A31" s="3" t="inlineStr">
        <is>
          <t>User Stories</t>
        </is>
      </c>
      <c r="B31" s="4" t="inlineStr">
        <is>
          <t>113 stories with acceptance criteria, MoSCoW priority, points, release and dependencies.</t>
        </is>
      </c>
    </row>
    <row r="32">
      <c r="A32" s="3" t="inlineStr">
        <is>
          <t>Release Plan</t>
        </is>
      </c>
      <c r="B32" s="4" t="inlineStr">
        <is>
          <t>Sprint-by-sprint sequencing from kickoff to public launch.</t>
        </is>
      </c>
    </row>
    <row r="33">
      <c r="A33" s="3" t="inlineStr">
        <is>
          <t>Tech Launch Checklist</t>
        </is>
      </c>
      <c r="B33" s="4" t="inlineStr">
        <is>
          <t>Everything that must exist technically before going live in Germany.</t>
        </is>
      </c>
    </row>
    <row r="34">
      <c r="A34" s="3" t="inlineStr">
        <is>
          <t>Vendors &amp; Costs</t>
        </is>
      </c>
      <c r="B34" s="4" t="inlineStr">
        <is>
          <t>Third-party services and indicative cost, plus unit economics at EUR 11.</t>
        </is>
      </c>
    </row>
    <row r="35">
      <c r="A35" s="3" t="inlineStr">
        <is>
          <t>Team &amp; Effort</t>
        </is>
      </c>
      <c r="B35" s="4" t="inlineStr">
        <is>
          <t>Roles required and the effort roll-up.</t>
        </is>
      </c>
    </row>
    <row r="36">
      <c r="A36" s="3" t="inlineStr">
        <is>
          <t>Summary</t>
        </is>
      </c>
      <c r="B36" s="4" t="inlineStr">
        <is>
          <t>Live totals by epic, priority and release.</t>
        </is>
      </c>
    </row>
    <row r="37">
      <c r="A37" s="3" t="inlineStr"/>
    </row>
    <row r="38">
      <c r="A38" s="5" t="inlineStr">
        <is>
          <t>CONVENTIONS</t>
        </is>
      </c>
    </row>
    <row r="39">
      <c r="A39" s="3" t="inlineStr">
        <is>
          <t>Priority</t>
        </is>
      </c>
      <c r="B39" s="4" t="inlineStr">
        <is>
          <t>MoSCoW: Must / Should / Could</t>
        </is>
      </c>
    </row>
    <row r="40">
      <c r="A40" s="3" t="inlineStr">
        <is>
          <t>Points</t>
        </is>
      </c>
      <c r="B40" s="4" t="inlineStr">
        <is>
          <t>Fibonacci. Assumed velocity on the Team &amp; Effort tab - change the blue cell to re-plan.</t>
        </is>
      </c>
    </row>
    <row r="41">
      <c r="A41" s="3" t="inlineStr">
        <is>
          <t>Release</t>
        </is>
      </c>
      <c r="B41" s="4" t="inlineStr">
        <is>
          <t>MVP = public launch | R1.1 = 4-8 weeks post-launch | R2 = quarter 2</t>
        </is>
      </c>
    </row>
    <row r="42">
      <c r="A42" s="3" t="inlineStr">
        <is>
          <t>Yellow cells</t>
        </is>
      </c>
      <c r="B42" s="4" t="inlineStr">
        <is>
          <t>For you to fill in.</t>
        </is>
      </c>
    </row>
    <row r="43">
      <c r="A43" s="3" t="inlineStr"/>
    </row>
    <row r="44">
      <c r="A44" s="5" t="inlineStr">
        <is>
          <t>ASSUMPTIONS</t>
        </is>
      </c>
    </row>
    <row r="45">
      <c r="A45" s="3" t="inlineStr">
        <is>
          <t>1</t>
        </is>
      </c>
      <c r="B45" s="4" t="inlineStr">
        <is>
          <t>EUR 11 is inclusive of 19% German VAT, so net revenue is EUR 9.24 per order.</t>
        </is>
      </c>
    </row>
    <row r="46">
      <c r="A46" s="3" t="inlineStr">
        <is>
          <t>2</t>
        </is>
      </c>
      <c r="B46" s="4" t="inlineStr">
        <is>
          <t>Astrologer fee assumed EUR 4.75; Stripe fee about EUR 0.42; infrastructure and PDF about EUR 0.15.</t>
        </is>
      </c>
    </row>
    <row r="47">
      <c r="A47" s="3" t="inlineStr">
        <is>
          <t>3</t>
        </is>
      </c>
      <c r="B47" s="4" t="inlineStr">
        <is>
          <t>Delivery SLA promised to the customer is 72 hours.</t>
        </is>
      </c>
    </row>
    <row r="48">
      <c r="A48" s="3" t="inlineStr">
        <is>
          <t>4</t>
        </is>
      </c>
      <c r="B48" s="4" t="inlineStr">
        <is>
          <t>Swiss Ephemeris free AGPL edition, client-side only, with a published engine package.</t>
        </is>
      </c>
    </row>
    <row r="49">
      <c r="A49" s="3" t="inlineStr">
        <is>
          <t>5</t>
        </is>
      </c>
      <c r="B49" s="4" t="inlineStr">
        <is>
          <t>All personal data hosted in an EU region with signed DPAs for every processor.</t>
        </is>
      </c>
    </row>
    <row r="50">
      <c r="A50" s="3" t="inlineStr">
        <is>
          <t>6</t>
        </is>
      </c>
      <c r="B50" s="4" t="inlineStr">
        <is>
          <t>The career feature is personal-use only and is never exposed to employers or recruiters.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9" customWidth="1" min="1" max="1"/>
    <col width="44" customWidth="1" min="2" max="2"/>
    <col width="64" customWidth="1" min="3" max="3"/>
    <col width="46" customWidth="1" min="4" max="4"/>
    <col width="14" customWidth="1" min="5" max="5"/>
    <col width="16" customWidth="1" min="6" max="6"/>
    <col width="9" customWidth="1" min="7" max="7"/>
    <col width="9" customWidth="1" min="8" max="8"/>
    <col width="11" customWidth="1" min="9" max="9"/>
  </cols>
  <sheetData>
    <row r="1" ht="30" customHeight="1">
      <c r="A1" s="6" t="inlineStr">
        <is>
          <t>Epic ID</t>
        </is>
      </c>
      <c r="B1" s="6" t="inlineStr">
        <is>
          <t>Epic Name</t>
        </is>
      </c>
      <c r="C1" s="6" t="inlineStr">
        <is>
          <t>Goal</t>
        </is>
      </c>
      <c r="D1" s="6" t="inlineStr">
        <is>
          <t>Business Value / Why</t>
        </is>
      </c>
      <c r="E1" s="6" t="inlineStr">
        <is>
          <t>Target Release</t>
        </is>
      </c>
      <c r="F1" s="6" t="inlineStr">
        <is>
          <t>Owning Role</t>
        </is>
      </c>
      <c r="G1" s="6" t="inlineStr">
        <is>
          <t>Stories</t>
        </is>
      </c>
      <c r="H1" s="6" t="inlineStr">
        <is>
          <t>Points</t>
        </is>
      </c>
      <c r="I1" s="6" t="inlineStr">
        <is>
          <t>Status</t>
        </is>
      </c>
    </row>
    <row r="2">
      <c r="A2" s="7" t="inlineStr">
        <is>
          <t>E01</t>
        </is>
      </c>
      <c r="B2" s="8" t="inlineStr">
        <is>
          <t>Foundation &amp; Platform Setup</t>
        </is>
      </c>
      <c r="C2" s="8" t="inlineStr">
        <is>
          <t>Repo, CI/CD, EU environments, app shell and design system so feature work can ship daily.</t>
        </is>
      </c>
      <c r="D2" s="8" t="inlineStr">
        <is>
          <t>Enabler - nothing ships without it</t>
        </is>
      </c>
      <c r="E2" s="7" t="inlineStr">
        <is>
          <t>MVP</t>
        </is>
      </c>
      <c r="F2" s="7" t="inlineStr">
        <is>
          <t>Tech Lead</t>
        </is>
      </c>
      <c r="G2" s="7">
        <f>COUNTIF('User Stories'!$B$2:$B$200,$A2)</f>
        <v/>
      </c>
      <c r="H2" s="7">
        <f>SUMIF('User Stories'!$B$2:$B$200,$A2,'User Stories'!$H$2:$H$200)</f>
        <v/>
      </c>
      <c r="I2" s="9" t="inlineStr">
        <is>
          <t>To Do</t>
        </is>
      </c>
    </row>
    <row r="3">
      <c r="A3" s="10" t="inlineStr">
        <is>
          <t>E02</t>
        </is>
      </c>
      <c r="B3" s="11" t="inlineStr">
        <is>
          <t>Onboarding, Auth &amp; Account</t>
        </is>
      </c>
      <c r="C3" s="11" t="inlineStr">
        <is>
          <t>Sign up, log in and manage profiles with minimal friction and GDPR-safe defaults.</t>
        </is>
      </c>
      <c r="D3" s="11" t="inlineStr">
        <is>
          <t>Activation funnel; every paid order needs an account</t>
        </is>
      </c>
      <c r="E3" s="10" t="inlineStr">
        <is>
          <t>MVP</t>
        </is>
      </c>
      <c r="F3" s="10" t="inlineStr">
        <is>
          <t>Mobile Lead</t>
        </is>
      </c>
      <c r="G3" s="10">
        <f>COUNTIF('User Stories'!$B$2:$B$200,$A3)</f>
        <v/>
      </c>
      <c r="H3" s="10">
        <f>SUMIF('User Stories'!$B$2:$B$200,$A3,'User Stories'!$H$2:$H$200)</f>
        <v/>
      </c>
      <c r="I3" s="9" t="inlineStr">
        <is>
          <t>To Do</t>
        </is>
      </c>
    </row>
    <row r="4">
      <c r="A4" s="7" t="inlineStr">
        <is>
          <t>E03</t>
        </is>
      </c>
      <c r="B4" s="8" t="inlineStr">
        <is>
          <t>Birth Data Capture &amp; Time/Geo Resolution</t>
        </is>
      </c>
      <c r="C4" s="8" t="inlineStr">
        <is>
          <t>Collect date, exact time and birthplace; resolve to lat/long plus historical timezone offset.</t>
        </is>
      </c>
      <c r="D4" s="8" t="inlineStr">
        <is>
          <t>Wrong input = wrong chart = refunds. Highest-risk data path.</t>
        </is>
      </c>
      <c r="E4" s="7" t="inlineStr">
        <is>
          <t>MVP</t>
        </is>
      </c>
      <c r="F4" s="7" t="inlineStr">
        <is>
          <t>Backend Lead</t>
        </is>
      </c>
      <c r="G4" s="7">
        <f>COUNTIF('User Stories'!$B$2:$B$200,$A4)</f>
        <v/>
      </c>
      <c r="H4" s="7">
        <f>SUMIF('User Stories'!$B$2:$B$200,$A4,'User Stories'!$H$2:$H$200)</f>
        <v/>
      </c>
      <c r="I4" s="9" t="inlineStr">
        <is>
          <t>To Do</t>
        </is>
      </c>
    </row>
    <row r="5">
      <c r="A5" s="10" t="inlineStr">
        <is>
          <t>E04</t>
        </is>
      </c>
      <c r="B5" s="11" t="inlineStr">
        <is>
          <t>Vedic Calculation Engine (AGPL, client-side)</t>
        </is>
      </c>
      <c r="C5" s="11" t="inlineStr">
        <is>
          <t>Swiss Ephemeris free edition compiled into the app (FFI) and the web console (WASM), published as an open-source package.</t>
        </is>
      </c>
      <c r="D5" s="11" t="inlineStr">
        <is>
          <t>Core capability at zero licence cost, with the AGPL boundary drawn to protect proprietary code</t>
        </is>
      </c>
      <c r="E5" s="10" t="inlineStr">
        <is>
          <t>MVP</t>
        </is>
      </c>
      <c r="F5" s="10" t="inlineStr">
        <is>
          <t>Backend Lead</t>
        </is>
      </c>
      <c r="G5" s="10">
        <f>COUNTIF('User Stories'!$B$2:$B$200,$A5)</f>
        <v/>
      </c>
      <c r="H5" s="10">
        <f>SUMIF('User Stories'!$B$2:$B$200,$A5,'User Stories'!$H$2:$H$200)</f>
        <v/>
      </c>
      <c r="I5" s="9" t="inlineStr">
        <is>
          <t>To Do</t>
        </is>
      </c>
    </row>
    <row r="6">
      <c r="A6" s="7" t="inlineStr">
        <is>
          <t>E05</t>
        </is>
      </c>
      <c r="B6" s="8" t="inlineStr">
        <is>
          <t>Kundali Rendering &amp; Free Insights</t>
        </is>
      </c>
      <c r="C6" s="8" t="inlineStr">
        <is>
          <t>North/South Indian and Western chart styles plus free auto-generated insight cards.</t>
        </is>
      </c>
      <c r="D6" s="8" t="inlineStr">
        <is>
          <t>Free value that drives install-to-paid conversion</t>
        </is>
      </c>
      <c r="E6" s="7" t="inlineStr">
        <is>
          <t>MVP</t>
        </is>
      </c>
      <c r="F6" s="7" t="inlineStr">
        <is>
          <t>Mobile Lead</t>
        </is>
      </c>
      <c r="G6" s="7">
        <f>COUNTIF('User Stories'!$B$2:$B$200,$A6)</f>
        <v/>
      </c>
      <c r="H6" s="7">
        <f>SUMIF('User Stories'!$B$2:$B$200,$A6,'User Stories'!$H$2:$H$200)</f>
        <v/>
      </c>
      <c r="I6" s="9" t="inlineStr">
        <is>
          <t>To Do</t>
        </is>
      </c>
    </row>
    <row r="7">
      <c r="A7" s="12" t="inlineStr">
        <is>
          <t>E16</t>
        </is>
      </c>
      <c r="B7" s="13" t="inlineStr">
        <is>
          <t>Career &amp; Industry Fit (free feature)</t>
        </is>
      </c>
      <c r="C7" s="13" t="inlineStr">
        <is>
          <t>User picks an industry; the app shows where they are naturally strong, where they will need more effort, and which roles suit them.</t>
        </is>
      </c>
      <c r="D7" s="13" t="inlineStr">
        <is>
          <t>The strongest free hook in the product and the main funnel into the EUR 11 report</t>
        </is>
      </c>
      <c r="E7" s="12" t="inlineStr">
        <is>
          <t>MVP</t>
        </is>
      </c>
      <c r="F7" s="12" t="inlineStr">
        <is>
          <t>Product Owner</t>
        </is>
      </c>
      <c r="G7" s="12">
        <f>COUNTIF('User Stories'!$B$2:$B$200,$A7)</f>
        <v/>
      </c>
      <c r="H7" s="12">
        <f>SUMIF('User Stories'!$B$2:$B$200,$A7,'User Stories'!$H$2:$H$200)</f>
        <v/>
      </c>
      <c r="I7" s="12" t="inlineStr">
        <is>
          <t>To Do</t>
        </is>
      </c>
    </row>
    <row r="8">
      <c r="A8" s="7" t="inlineStr">
        <is>
          <t>E06</t>
        </is>
      </c>
      <c r="B8" s="8" t="inlineStr">
        <is>
          <t>Expert Kundali Evaluation - Customer Flow</t>
        </is>
      </c>
      <c r="C8" s="8" t="inlineStr">
        <is>
          <t>Order a EUR 11 expert evaluation, ask questions, track status, receive a PDF report.</t>
        </is>
      </c>
      <c r="D8" s="8" t="inlineStr">
        <is>
          <t>THE revenue product - EUR 11 per evaluation</t>
        </is>
      </c>
      <c r="E8" s="7" t="inlineStr">
        <is>
          <t>MVP</t>
        </is>
      </c>
      <c r="F8" s="7" t="inlineStr">
        <is>
          <t>Product Owner</t>
        </is>
      </c>
      <c r="G8" s="7">
        <f>COUNTIF('User Stories'!$B$2:$B$200,$A8)</f>
        <v/>
      </c>
      <c r="H8" s="7">
        <f>SUMIF('User Stories'!$B$2:$B$200,$A8,'User Stories'!$H$2:$H$200)</f>
        <v/>
      </c>
      <c r="I8" s="9" t="inlineStr">
        <is>
          <t>To Do</t>
        </is>
      </c>
    </row>
    <row r="9">
      <c r="A9" s="10" t="inlineStr">
        <is>
          <t>E07</t>
        </is>
      </c>
      <c r="B9" s="11" t="inlineStr">
        <is>
          <t>Astrologer Console (Expert Side)</t>
        </is>
      </c>
      <c r="C9" s="11" t="inlineStr">
        <is>
          <t>Vetted astrologers claim, analyse, write, QA and deliver evaluations to SLA.</t>
        </is>
      </c>
      <c r="D9" s="11" t="inlineStr">
        <is>
          <t>Supply side; without it the paid product cannot be fulfilled</t>
        </is>
      </c>
      <c r="E9" s="10" t="inlineStr">
        <is>
          <t>MVP</t>
        </is>
      </c>
      <c r="F9" s="10" t="inlineStr">
        <is>
          <t>Backend Lead</t>
        </is>
      </c>
      <c r="G9" s="10">
        <f>COUNTIF('User Stories'!$B$2:$B$200,$A9)</f>
        <v/>
      </c>
      <c r="H9" s="10">
        <f>SUMIF('User Stories'!$B$2:$B$200,$A9,'User Stories'!$H$2:$H$200)</f>
        <v/>
      </c>
      <c r="I9" s="9" t="inlineStr">
        <is>
          <t>To Do</t>
        </is>
      </c>
    </row>
    <row r="10">
      <c r="A10" s="7" t="inlineStr">
        <is>
          <t>E08</t>
        </is>
      </c>
      <c r="B10" s="8" t="inlineStr">
        <is>
          <t>Payments, Billing &amp; German Tax</t>
        </is>
      </c>
      <c r="C10" s="8" t="inlineStr">
        <is>
          <t>Stripe payments with SEPA/Klarna/PayPal/cards, compliant invoices, VAT/OSS, refunds.</t>
        </is>
      </c>
      <c r="D10" s="8" t="inlineStr">
        <is>
          <t>Money in, legally</t>
        </is>
      </c>
      <c r="E10" s="7" t="inlineStr">
        <is>
          <t>MVP</t>
        </is>
      </c>
      <c r="F10" s="7" t="inlineStr">
        <is>
          <t>Backend Lead</t>
        </is>
      </c>
      <c r="G10" s="7">
        <f>COUNTIF('User Stories'!$B$2:$B$200,$A10)</f>
        <v/>
      </c>
      <c r="H10" s="7">
        <f>SUMIF('User Stories'!$B$2:$B$200,$A10,'User Stories'!$H$2:$H$200)</f>
        <v/>
      </c>
      <c r="I10" s="9" t="inlineStr">
        <is>
          <t>To Do</t>
        </is>
      </c>
    </row>
    <row r="11">
      <c r="A11" s="10" t="inlineStr">
        <is>
          <t>E09</t>
        </is>
      </c>
      <c r="B11" s="11" t="inlineStr">
        <is>
          <t>Localization &amp; German Content</t>
        </is>
      </c>
      <c r="C11" s="11" t="inlineStr">
        <is>
          <t>Full de-DE and en-GB experience with culturally translated Vedic terminology.</t>
        </is>
      </c>
      <c r="D11" s="11" t="inlineStr">
        <is>
          <t>Germany is the target market - German is table stakes</t>
        </is>
      </c>
      <c r="E11" s="10" t="inlineStr">
        <is>
          <t>MVP</t>
        </is>
      </c>
      <c r="F11" s="10" t="inlineStr">
        <is>
          <t>Content Lead</t>
        </is>
      </c>
      <c r="G11" s="10">
        <f>COUNTIF('User Stories'!$B$2:$B$200,$A11)</f>
        <v/>
      </c>
      <c r="H11" s="10">
        <f>SUMIF('User Stories'!$B$2:$B$200,$A11,'User Stories'!$H$2:$H$200)</f>
        <v/>
      </c>
      <c r="I11" s="9" t="inlineStr">
        <is>
          <t>To Do</t>
        </is>
      </c>
    </row>
    <row r="12">
      <c r="A12" s="7" t="inlineStr">
        <is>
          <t>E10</t>
        </is>
      </c>
      <c r="B12" s="8" t="inlineStr">
        <is>
          <t>Notifications &amp; Engagement</t>
        </is>
      </c>
      <c r="C12" s="8" t="inlineStr">
        <is>
          <t>Push, email and in-app messaging for order status, daily panchang and win-back.</t>
        </is>
      </c>
      <c r="D12" s="8" t="inlineStr">
        <is>
          <t>Retention and repeat purchase</t>
        </is>
      </c>
      <c r="E12" s="7" t="inlineStr">
        <is>
          <t>MVP</t>
        </is>
      </c>
      <c r="F12" s="7" t="inlineStr">
        <is>
          <t>Mobile Lead</t>
        </is>
      </c>
      <c r="G12" s="7">
        <f>COUNTIF('User Stories'!$B$2:$B$200,$A12)</f>
        <v/>
      </c>
      <c r="H12" s="7">
        <f>SUMIF('User Stories'!$B$2:$B$200,$A12,'User Stories'!$H$2:$H$200)</f>
        <v/>
      </c>
      <c r="I12" s="9" t="inlineStr">
        <is>
          <t>To Do</t>
        </is>
      </c>
    </row>
    <row r="13">
      <c r="A13" s="10" t="inlineStr">
        <is>
          <t>E11</t>
        </is>
      </c>
      <c r="B13" s="11" t="inlineStr">
        <is>
          <t>GDPR, Privacy &amp; Legal Compliance</t>
        </is>
      </c>
      <c r="C13" s="11" t="inlineStr">
        <is>
          <t>Consent, DSR automation, EU residency, Impressum/AGB/Widerruf, age gating, disclaimers.</t>
        </is>
      </c>
      <c r="D13" s="11" t="inlineStr">
        <is>
          <t>Legal right to operate in Germany</t>
        </is>
      </c>
      <c r="E13" s="10" t="inlineStr">
        <is>
          <t>MVP</t>
        </is>
      </c>
      <c r="F13" s="10" t="inlineStr">
        <is>
          <t>Legal + Tech Lead</t>
        </is>
      </c>
      <c r="G13" s="10">
        <f>COUNTIF('User Stories'!$B$2:$B$200,$A13)</f>
        <v/>
      </c>
      <c r="H13" s="10">
        <f>SUMIF('User Stories'!$B$2:$B$200,$A13,'User Stories'!$H$2:$H$200)</f>
        <v/>
      </c>
      <c r="I13" s="9" t="inlineStr">
        <is>
          <t>To Do</t>
        </is>
      </c>
    </row>
    <row r="14">
      <c r="A14" s="7" t="inlineStr">
        <is>
          <t>E12</t>
        </is>
      </c>
      <c r="B14" s="8" t="inlineStr">
        <is>
          <t>Admin &amp; Support Backoffice</t>
        </is>
      </c>
      <c r="C14" s="8" t="inlineStr">
        <is>
          <t>Internal tooling for order ops, expert management, refunds, content and moderation.</t>
        </is>
      </c>
      <c r="D14" s="8" t="inlineStr">
        <is>
          <t>Operational cost control</t>
        </is>
      </c>
      <c r="E14" s="7" t="inlineStr">
        <is>
          <t>MVP</t>
        </is>
      </c>
      <c r="F14" s="7" t="inlineStr">
        <is>
          <t>Backend Lead</t>
        </is>
      </c>
      <c r="G14" s="7">
        <f>COUNTIF('User Stories'!$B$2:$B$200,$A14)</f>
        <v/>
      </c>
      <c r="H14" s="7">
        <f>SUMIF('User Stories'!$B$2:$B$200,$A14,'User Stories'!$H$2:$H$200)</f>
        <v/>
      </c>
      <c r="I14" s="9" t="inlineStr">
        <is>
          <t>To Do</t>
        </is>
      </c>
    </row>
    <row r="15">
      <c r="A15" s="10" t="inlineStr">
        <is>
          <t>E13</t>
        </is>
      </c>
      <c r="B15" s="11" t="inlineStr">
        <is>
          <t>Analytics, Growth &amp; ASO</t>
        </is>
      </c>
      <c r="C15" s="11" t="inlineStr">
        <is>
          <t>Consent-gated analytics, funnel dashboards, attribution, store listings, A/B testing.</t>
        </is>
      </c>
      <c r="D15" s="11" t="inlineStr">
        <is>
          <t>Learn what converts; reduce CAC</t>
        </is>
      </c>
      <c r="E15" s="10" t="inlineStr">
        <is>
          <t>MVP</t>
        </is>
      </c>
      <c r="F15" s="10" t="inlineStr">
        <is>
          <t>Growth</t>
        </is>
      </c>
      <c r="G15" s="10">
        <f>COUNTIF('User Stories'!$B$2:$B$200,$A15)</f>
        <v/>
      </c>
      <c r="H15" s="10">
        <f>SUMIF('User Stories'!$B$2:$B$200,$A15,'User Stories'!$H$2:$H$200)</f>
        <v/>
      </c>
      <c r="I15" s="9" t="inlineStr">
        <is>
          <t>To Do</t>
        </is>
      </c>
    </row>
    <row r="16">
      <c r="A16" s="7" t="inlineStr">
        <is>
          <t>E14</t>
        </is>
      </c>
      <c r="B16" s="8" t="inlineStr">
        <is>
          <t>Quality, Security &amp; Release Engineering</t>
        </is>
      </c>
      <c r="C16" s="8" t="inlineStr">
        <is>
          <t>Automated tests, accuracy regression suite, pen test, observability, store rollout.</t>
        </is>
      </c>
      <c r="D16" s="8" t="inlineStr">
        <is>
          <t>Prevents launch-blocking failures</t>
        </is>
      </c>
      <c r="E16" s="7" t="inlineStr">
        <is>
          <t>MVP</t>
        </is>
      </c>
      <c r="F16" s="7" t="inlineStr">
        <is>
          <t>QA Lead</t>
        </is>
      </c>
      <c r="G16" s="7">
        <f>COUNTIF('User Stories'!$B$2:$B$200,$A16)</f>
        <v/>
      </c>
      <c r="H16" s="7">
        <f>SUMIF('User Stories'!$B$2:$B$200,$A16,'User Stories'!$H$2:$H$200)</f>
        <v/>
      </c>
      <c r="I16" s="9" t="inlineStr">
        <is>
          <t>To Do</t>
        </is>
      </c>
    </row>
    <row r="17">
      <c r="A17" s="10" t="inlineStr">
        <is>
          <t>E15</t>
        </is>
      </c>
      <c r="B17" s="11" t="inlineStr">
        <is>
          <t>Post-MVP: Matchmaking, Horoscopes &amp; Consultations</t>
        </is>
      </c>
      <c r="C17" s="11" t="inlineStr">
        <is>
          <t>Kundali Milan, daily horoscopes, live 1:1 consultations, subscriptions.</t>
        </is>
      </c>
      <c r="D17" s="11" t="inlineStr">
        <is>
          <t>Expands ARPU beyond one-off EUR 11</t>
        </is>
      </c>
      <c r="E17" s="10" t="inlineStr">
        <is>
          <t>R2</t>
        </is>
      </c>
      <c r="F17" s="10" t="inlineStr">
        <is>
          <t>Product Owner</t>
        </is>
      </c>
      <c r="G17" s="10">
        <f>COUNTIF('User Stories'!$B$2:$B$200,$A17)</f>
        <v/>
      </c>
      <c r="H17" s="10">
        <f>SUMIF('User Stories'!$B$2:$B$200,$A17,'User Stories'!$H$2:$H$200)</f>
        <v/>
      </c>
      <c r="I17" s="9" t="inlineStr">
        <is>
          <t>To Do</t>
        </is>
      </c>
    </row>
    <row r="18">
      <c r="A18" s="7" t="n"/>
      <c r="B18" s="8" t="inlineStr">
        <is>
          <t>TOTAL</t>
        </is>
      </c>
      <c r="C18" s="8" t="n"/>
      <c r="D18" s="8" t="n"/>
      <c r="E18" s="7" t="n"/>
      <c r="F18" s="7" t="n"/>
      <c r="G18" s="7">
        <f>SUM(G2:G17)</f>
        <v/>
      </c>
      <c r="H18" s="7">
        <f>SUM(H2:H17)</f>
        <v/>
      </c>
      <c r="I18"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0" customWidth="1" min="3" max="3"/>
    <col width="44" customWidth="1" min="4" max="4"/>
    <col width="70" customWidth="1" min="5" max="5"/>
    <col width="94" customWidth="1" min="6" max="6"/>
    <col width="9" customWidth="1" min="7" max="7"/>
    <col width="8" customWidth="1" min="8" max="8"/>
    <col width="10" customWidth="1" min="9" max="9"/>
    <col width="12" customWidth="1" min="10" max="10"/>
    <col width="12" customWidth="1" min="11" max="11"/>
    <col width="12" customWidth="1" min="12" max="12"/>
    <col width="9" customWidth="1" min="13" max="13"/>
  </cols>
  <sheetData>
    <row r="1" ht="30" customHeight="1">
      <c r="A1" s="6" t="inlineStr">
        <is>
          <t>Story ID</t>
        </is>
      </c>
      <c r="B1" s="6" t="inlineStr">
        <is>
          <t>Epic ID</t>
        </is>
      </c>
      <c r="C1" s="6" t="inlineStr">
        <is>
          <t>Epic Name</t>
        </is>
      </c>
      <c r="D1" s="6" t="inlineStr">
        <is>
          <t>Story Title</t>
        </is>
      </c>
      <c r="E1" s="6" t="inlineStr">
        <is>
          <t>User Story</t>
        </is>
      </c>
      <c r="F1" s="6" t="inlineStr">
        <is>
          <t>Acceptance Criteria</t>
        </is>
      </c>
      <c r="G1" s="6" t="inlineStr">
        <is>
          <t>Priority</t>
        </is>
      </c>
      <c r="H1" s="6" t="inlineStr">
        <is>
          <t>Points</t>
        </is>
      </c>
      <c r="I1" s="6" t="inlineStr">
        <is>
          <t>Release</t>
        </is>
      </c>
      <c r="J1" s="6" t="inlineStr">
        <is>
          <t>Component</t>
        </is>
      </c>
      <c r="K1" s="6" t="inlineStr">
        <is>
          <t>Depends On</t>
        </is>
      </c>
      <c r="L1" s="6" t="inlineStr">
        <is>
          <t>Status</t>
        </is>
      </c>
      <c r="M1" s="6" t="inlineStr">
        <is>
          <t>Sprint</t>
        </is>
      </c>
    </row>
    <row r="2">
      <c r="A2" s="7" t="inlineStr">
        <is>
          <t>US-001</t>
        </is>
      </c>
      <c r="B2" s="7" t="inlineStr">
        <is>
          <t>E01</t>
        </is>
      </c>
      <c r="C2" s="8" t="inlineStr">
        <is>
          <t>Foundation &amp; Platform Setup</t>
        </is>
      </c>
      <c r="D2" s="8" t="inlineStr">
        <is>
          <t>Monorepo &amp; project scaffolding</t>
        </is>
      </c>
      <c r="E2" s="8" t="inlineStr">
        <is>
          <t>As a developer I want a monorepo with app, API and infra packages so that code, CI and shared types live in one place.</t>
        </is>
      </c>
      <c r="F2" s="8" t="inlineStr">
        <is>
          <t>1) /app (Flutter), /api (proprietary services), /infra (IaC), /shared, and a SEPARATE public repo for the AGPL engine package. 2) Lint, format and pre-commit hooks enforced. 3) README with a local setup that works from a clean machine in under 30 minutes.</t>
        </is>
      </c>
      <c r="G2" s="14" t="inlineStr">
        <is>
          <t>Must</t>
        </is>
      </c>
      <c r="H2" s="15" t="n">
        <v>5</v>
      </c>
      <c r="I2" s="16" t="inlineStr">
        <is>
          <t>MVP</t>
        </is>
      </c>
      <c r="J2" s="7" t="inlineStr">
        <is>
          <t>DevOps</t>
        </is>
      </c>
      <c r="K2" s="7" t="inlineStr"/>
      <c r="L2" s="9" t="inlineStr">
        <is>
          <t>Done</t>
        </is>
      </c>
      <c r="M2" s="9" t="inlineStr"/>
    </row>
    <row r="3">
      <c r="A3" s="10" t="inlineStr">
        <is>
          <t>US-002</t>
        </is>
      </c>
      <c r="B3" s="10" t="inlineStr">
        <is>
          <t>E01</t>
        </is>
      </c>
      <c r="C3" s="11" t="inlineStr">
        <is>
          <t>Foundation &amp; Platform Setup</t>
        </is>
      </c>
      <c r="D3" s="11" t="inlineStr">
        <is>
          <t>CI/CD pipeline for app and API</t>
        </is>
      </c>
      <c r="E3" s="11" t="inlineStr">
        <is>
          <t>As a developer I want automated build, test and deploy pipelines so that every merge is releasable.</t>
        </is>
      </c>
      <c r="F3" s="11" t="inlineStr">
        <is>
          <t>1) PR pipeline runs lint, tests and builds for iOS, Android and API. 2) Main merges auto-deploy to dev. 3) Tagged releases go to staging then prod with manual approval. 4) One-click rollback.</t>
        </is>
      </c>
      <c r="G3" s="17" t="inlineStr">
        <is>
          <t>Must</t>
        </is>
      </c>
      <c r="H3" s="18" t="n">
        <v>8</v>
      </c>
      <c r="I3" s="16" t="inlineStr">
        <is>
          <t>MVP</t>
        </is>
      </c>
      <c r="J3" s="10" t="inlineStr">
        <is>
          <t>DevOps</t>
        </is>
      </c>
      <c r="K3" s="10" t="inlineStr">
        <is>
          <t>US-001</t>
        </is>
      </c>
      <c r="L3" s="9" t="inlineStr">
        <is>
          <t>To Do</t>
        </is>
      </c>
      <c r="M3" s="9" t="inlineStr"/>
    </row>
    <row r="4">
      <c r="A4" s="7" t="inlineStr">
        <is>
          <t>US-003</t>
        </is>
      </c>
      <c r="B4" s="7" t="inlineStr">
        <is>
          <t>E01</t>
        </is>
      </c>
      <c r="C4" s="8" t="inlineStr">
        <is>
          <t>Foundation &amp; Platform Setup</t>
        </is>
      </c>
      <c r="D4" s="8" t="inlineStr">
        <is>
          <t>EU-region cloud environments (dev/staging/prod)</t>
        </is>
      </c>
      <c r="E4" s="8" t="inlineStr">
        <is>
          <t>As a tech lead I want three isolated EU-hosted environments so that we meet GDPR data-residency expectations.</t>
        </is>
      </c>
      <c r="F4" s="8" t="inlineStr">
        <is>
          <t>1) All compute, DB, storage and backups in eu-central-1 (Frankfurt). 2) No production data in dev or staging. 3) Secrets in a managed store, never in the repo. 4) Defined in IaC and reproducible. DESCOPED (2026-08-01): single environment only for now (Hetzner, fsn1), pre-launch/pre-real-users — see infra/README.md. Full dev/staging/prod split must land before real users or payments go live.</t>
        </is>
      </c>
      <c r="G4" s="14" t="inlineStr">
        <is>
          <t>Must</t>
        </is>
      </c>
      <c r="H4" s="15" t="n">
        <v>8</v>
      </c>
      <c r="I4" s="16" t="inlineStr">
        <is>
          <t>MVP</t>
        </is>
      </c>
      <c r="J4" s="7" t="inlineStr">
        <is>
          <t>Infra</t>
        </is>
      </c>
      <c r="K4" s="7" t="inlineStr">
        <is>
          <t>US-001</t>
        </is>
      </c>
      <c r="L4" s="9" t="inlineStr">
        <is>
          <t>In Progress</t>
        </is>
      </c>
      <c r="M4" s="9" t="inlineStr"/>
    </row>
    <row r="5">
      <c r="A5" s="10" t="inlineStr">
        <is>
          <t>US-004</t>
        </is>
      </c>
      <c r="B5" s="10" t="inlineStr">
        <is>
          <t>E01</t>
        </is>
      </c>
      <c r="C5" s="11" t="inlineStr">
        <is>
          <t>Foundation &amp; Platform Setup</t>
        </is>
      </c>
      <c r="D5" s="11" t="inlineStr">
        <is>
          <t>Design system &amp; component library</t>
        </is>
      </c>
      <c r="E5" s="11" t="inlineStr">
        <is>
          <t>As a designer I want a shared design system so that the UI is consistent and screens are built fast.</t>
        </is>
      </c>
      <c r="F5" s="11" t="inlineStr">
        <is>
          <t>1) Tokens for colour, type, spacing, radii and elevation. 2) 20+ core components. 3) Light and dark themes. 4) Accessibility: 4.5:1 contrast minimum, 44pt tap targets. VERIFIED (2026-08-02): 28 components; contrast recomputed from the WCAG spec in test/design/contrast_test.dart (41 assertions, both themes); 44pt targets asserted per component incl. at 2x text scale. KNOWN DEBT: five German accessibility strings are hardcoded pending l10n (epic E09) — see the note in core/design/design_system.dart.</t>
        </is>
      </c>
      <c r="G5" s="17" t="inlineStr">
        <is>
          <t>Must</t>
        </is>
      </c>
      <c r="H5" s="18" t="n">
        <v>8</v>
      </c>
      <c r="I5" s="16" t="inlineStr">
        <is>
          <t>MVP</t>
        </is>
      </c>
      <c r="J5" s="10" t="inlineStr">
        <is>
          <t>Design</t>
        </is>
      </c>
      <c r="K5" s="10" t="inlineStr">
        <is>
          <t>US-001</t>
        </is>
      </c>
      <c r="L5" s="9" t="inlineStr">
        <is>
          <t>Done</t>
        </is>
      </c>
      <c r="M5" s="9" t="inlineStr"/>
    </row>
    <row r="6">
      <c r="A6" s="7" t="inlineStr">
        <is>
          <t>US-005</t>
        </is>
      </c>
      <c r="B6" s="7" t="inlineStr">
        <is>
          <t>E01</t>
        </is>
      </c>
      <c r="C6" s="8" t="inlineStr">
        <is>
          <t>Foundation &amp; Platform Setup</t>
        </is>
      </c>
      <c r="D6" s="8" t="inlineStr">
        <is>
          <t>App shell, navigation &amp; offline state</t>
        </is>
      </c>
      <c r="E6" s="8" t="inlineStr">
        <is>
          <t>As a user I want fast navigation and graceful offline behaviour so that the app feels reliable.</t>
        </is>
      </c>
      <c r="F6" s="8" t="inlineStr">
        <is>
          <t>1) Bottom tabs: Home, Kundali, Karriere, Auswertung, Profil. 2) Deep links resolve correctly. 3) Offline banner; cached chart viewable without network. 4) Cold start under 2.5s on mid-range Android. PARTIAL (2026-08-02). AC1 done: five tabs, state preserved per tab. AC2 done: routes tested and verified on device; a custom-scheme link was broken (host vs path) and is fixed. https App Links declared but cannot verify without the jyotish.de domain and a release signing key. AC3 HALF: offline banner works; "cached chart viewable without network" is not built — no chart exists to cache (needs E03 + the engine). AC4 NOT VERIFIED: release APK on an Android emulator cold-starts 2.19-2.47s, worst 2.63s under host load — at the 2.5s budget, not under it, and an emulator is not a mid-range device. Needs measuring on real hardware.</t>
        </is>
      </c>
      <c r="G6" s="14" t="inlineStr">
        <is>
          <t>Must</t>
        </is>
      </c>
      <c r="H6" s="15" t="n">
        <v>5</v>
      </c>
      <c r="I6" s="16" t="inlineStr">
        <is>
          <t>MVP</t>
        </is>
      </c>
      <c r="J6" s="7" t="inlineStr">
        <is>
          <t>Mobile</t>
        </is>
      </c>
      <c r="K6" s="7" t="inlineStr">
        <is>
          <t>US-004</t>
        </is>
      </c>
      <c r="L6" s="9" t="inlineStr">
        <is>
          <t>In Progress</t>
        </is>
      </c>
      <c r="M6" s="9" t="inlineStr"/>
    </row>
    <row r="7">
      <c r="A7" s="10" t="inlineStr">
        <is>
          <t>US-006</t>
        </is>
      </c>
      <c r="B7" s="10" t="inlineStr">
        <is>
          <t>E01</t>
        </is>
      </c>
      <c r="C7" s="11" t="inlineStr">
        <is>
          <t>Foundation &amp; Platform Setup</t>
        </is>
      </c>
      <c r="D7" s="11" t="inlineStr">
        <is>
          <t>Feature flags &amp; remote config</t>
        </is>
      </c>
      <c r="E7" s="11" t="inlineStr">
        <is>
          <t>As a product owner I want feature flags so that we can dark-launch and kill-switch without a store release.</t>
        </is>
      </c>
      <c r="F7" s="11" t="inlineStr">
        <is>
          <t>1) Flags evaluated per user and segment at runtime. 2) Kill switch on the paid evaluation flow. 3) All flag changes audited. PARTIAL (2026-08-02). AC1 engine done: segments (locale, platform, version range, user list, internal) and deterministic FNV-1a rollout bucketing, per flag so users are not in the same bucket for every rollout; 47 tests. CAVEAT: flagUserIdProvider is still a constant, so every device buckets identically — must be wired to real identity (E02) before any percentage rollout. AC2 done: paid_evaluation kill switch gates the Auswertung flow, cached so it survives restart and network loss; verified in widget tests. AC3 PARTIAL: FlagAuditService refuses any change without actor and reason, append-only, 12 tests — but storage is in-memory because the API has no database, and there is no admin UI or endpoint to change a flag. NO TRANSPORT: nothing serves the document and nothing fetches it, so flags are compiled-in defaults in practice until the API exists.</t>
        </is>
      </c>
      <c r="G7" s="19" t="inlineStr">
        <is>
          <t>Should</t>
        </is>
      </c>
      <c r="H7" s="18" t="n">
        <v>3</v>
      </c>
      <c r="I7" s="16" t="inlineStr">
        <is>
          <t>MVP</t>
        </is>
      </c>
      <c r="J7" s="10" t="inlineStr">
        <is>
          <t>Platform</t>
        </is>
      </c>
      <c r="K7" s="10" t="inlineStr">
        <is>
          <t>US-002</t>
        </is>
      </c>
      <c r="L7" s="9" t="inlineStr">
        <is>
          <t>In Progress</t>
        </is>
      </c>
      <c r="M7" s="9" t="inlineStr"/>
    </row>
    <row r="8">
      <c r="A8" s="7" t="inlineStr">
        <is>
          <t>US-007</t>
        </is>
      </c>
      <c r="B8" s="7" t="inlineStr">
        <is>
          <t>E01</t>
        </is>
      </c>
      <c r="C8" s="8" t="inlineStr">
        <is>
          <t>Foundation &amp; Platform Setup</t>
        </is>
      </c>
      <c r="D8" s="8" t="inlineStr">
        <is>
          <t>Centralised logging, metrics &amp; alerting</t>
        </is>
      </c>
      <c r="E8" s="8" t="inlineStr">
        <is>
          <t>As an on-call engineer I want observability so that I detect incidents before users report them.</t>
        </is>
      </c>
      <c r="F8" s="8" t="inlineStr">
        <is>
          <t>1) Structured logs with correlation IDs across app, API and workers. 2) Dashboards for latency, error rate and queue depth. 3) Alerts on p99 over 2s, 5xx over 1%, payment failures. 4) No PII or birth data in logs. PARTIAL (2026-08-02). AC4 DONE: allowlist-based redaction plus pattern scrubbing (email, IBAN, card, coordinates, birth dates, phone, token, IP) in both app and API, 48 tests including a full birth-data payload thrown at the logger. AC1 HALF: structured JSON loggers with correlation-ID propagation exist on both sides (AsyncLocalStorage in the API, Zone in the app), but there is no HTTP layer and no workers, so cross-service propagation is unexercised. AC2/AC3 DEFINED NOT DEPLOYED: alerts.yaml and dashboard.json encode the AC3 thresholds (p99 2s, 5xx 1%, payment failures) and CI fails if they are loosened, but there is no Grafana/Prometheus and the API emits no metrics, so every series referenced is absent and no alert can fire. A deadman rule (JyotishMetricsAbsent) is included precisely because silent non-firing is the failure mode here.</t>
        </is>
      </c>
      <c r="G8" s="14" t="inlineStr">
        <is>
          <t>Must</t>
        </is>
      </c>
      <c r="H8" s="15" t="n">
        <v>5</v>
      </c>
      <c r="I8" s="16" t="inlineStr">
        <is>
          <t>MVP</t>
        </is>
      </c>
      <c r="J8" s="7" t="inlineStr">
        <is>
          <t>Infra</t>
        </is>
      </c>
      <c r="K8" s="7" t="inlineStr">
        <is>
          <t>US-003</t>
        </is>
      </c>
      <c r="L8" s="9" t="inlineStr">
        <is>
          <t>In Progress</t>
        </is>
      </c>
      <c r="M8" s="9" t="inlineStr"/>
    </row>
    <row r="9">
      <c r="A9" s="10" t="inlineStr">
        <is>
          <t>US-008</t>
        </is>
      </c>
      <c r="B9" s="10" t="inlineStr">
        <is>
          <t>E01</t>
        </is>
      </c>
      <c r="C9" s="11" t="inlineStr">
        <is>
          <t>Foundation &amp; Platform Setup</t>
        </is>
      </c>
      <c r="D9" s="11" t="inlineStr">
        <is>
          <t>Crash reporting &amp; performance monitoring</t>
        </is>
      </c>
      <c r="E9" s="11" t="inlineStr">
        <is>
          <t>As a mobile lead I want crash and ANR reporting so that stability regressions surface within hours.</t>
        </is>
      </c>
      <c r="F9" s="11" t="inlineStr">
        <is>
          <t>1) Crash-free session rate tracked per release. 2) Symbolicated stack traces. 3) Alert below 99.0%. 4) Consent-gated in the EU. PARTIAL (2026-08-02). AC4 DONE: consent gate with per-category states, only "granted" permits transmission, pre-decision crashes buffered in memory and discarded on refusal, withdrawal takes effect immediately; reports redacted via US-007. Fixed a restore race that could re-grant consent a user had just refused. AC1 DONE locally: per-release session counters, unclean-exit detection verified on device — but nothing transmits the rate. AC2 PARTIAL: scripts/build_release.sh produces obfuscation symbols and refuses to return a build without them (verified, 3 ABIs), but there is no crash service to upload to, so nothing is actually symbolicated. AC3 DEFINED NOT DEPLOYED: JyotishCrashFreeRate alert with a 50-session guard, pinned by CI. BLOCKED ON: no crash reporting account (CrashTransport has only a recording implementation) and no CMP (US-095), so consent is never granted and nothing would send even if a transport existed.</t>
        </is>
      </c>
      <c r="G9" s="17" t="inlineStr">
        <is>
          <t>Must</t>
        </is>
      </c>
      <c r="H9" s="18" t="n">
        <v>3</v>
      </c>
      <c r="I9" s="16" t="inlineStr">
        <is>
          <t>MVP</t>
        </is>
      </c>
      <c r="J9" s="10" t="inlineStr">
        <is>
          <t>Mobile</t>
        </is>
      </c>
      <c r="K9" s="10" t="inlineStr">
        <is>
          <t>US-005</t>
        </is>
      </c>
      <c r="L9" s="9" t="inlineStr">
        <is>
          <t>In Progress</t>
        </is>
      </c>
      <c r="M9" s="9" t="inlineStr"/>
    </row>
    <row r="10">
      <c r="A10" s="7" t="inlineStr">
        <is>
          <t>US-010</t>
        </is>
      </c>
      <c r="B10" s="7" t="inlineStr">
        <is>
          <t>E02</t>
        </is>
      </c>
      <c r="C10" s="8" t="inlineStr">
        <is>
          <t>Onboarding, Auth &amp; Account</t>
        </is>
      </c>
      <c r="D10" s="8" t="inlineStr">
        <is>
          <t>First-run onboarding carousel</t>
        </is>
      </c>
      <c r="E10" s="8" t="inlineStr">
        <is>
          <t>As a new user I want a short intro so that I understand the value before signing up.</t>
        </is>
      </c>
      <c r="F10" s="8" t="inlineStr">
        <is>
          <t>1) Maximum four screens, skippable. 2) German by default when the device locale is de. 3) Explains the free chart, the free career feature and the EUR 11 expert report. 4) Shown once, tracked as onboarding_completed.</t>
        </is>
      </c>
      <c r="G10" s="20" t="inlineStr">
        <is>
          <t>Should</t>
        </is>
      </c>
      <c r="H10" s="15" t="n">
        <v>3</v>
      </c>
      <c r="I10" s="16" t="inlineStr">
        <is>
          <t>MVP</t>
        </is>
      </c>
      <c r="J10" s="7" t="inlineStr">
        <is>
          <t>Mobile</t>
        </is>
      </c>
      <c r="K10" s="7" t="inlineStr">
        <is>
          <t>US-005</t>
        </is>
      </c>
      <c r="L10" s="9" t="inlineStr">
        <is>
          <t>To Do</t>
        </is>
      </c>
      <c r="M10" s="9" t="inlineStr"/>
    </row>
    <row r="11">
      <c r="A11" s="10" t="inlineStr">
        <is>
          <t>US-011</t>
        </is>
      </c>
      <c r="B11" s="10" t="inlineStr">
        <is>
          <t>E02</t>
        </is>
      </c>
      <c r="C11" s="11" t="inlineStr">
        <is>
          <t>Onboarding, Auth &amp; Account</t>
        </is>
      </c>
      <c r="D11" s="11" t="inlineStr">
        <is>
          <t>Email and password sign-up and login</t>
        </is>
      </c>
      <c r="E11" s="11" t="inlineStr">
        <is>
          <t>As a user I want to create an account so that my charts and orders are saved.</t>
        </is>
      </c>
      <c r="F11" s="11" t="inlineStr">
        <is>
          <t>1) Email verification link. 2) Password minimum 10 characters with a breach-list check. 3) Rate limiting and lockout after 10 failed attempts. 4) Password reset token valid 30 minutes.</t>
        </is>
      </c>
      <c r="G11" s="17" t="inlineStr">
        <is>
          <t>Must</t>
        </is>
      </c>
      <c r="H11" s="18" t="n">
        <v>5</v>
      </c>
      <c r="I11" s="16" t="inlineStr">
        <is>
          <t>MVP</t>
        </is>
      </c>
      <c r="J11" s="10" t="inlineStr">
        <is>
          <t>Backend</t>
        </is>
      </c>
      <c r="K11" s="10" t="inlineStr">
        <is>
          <t>US-003</t>
        </is>
      </c>
      <c r="L11" s="9" t="inlineStr">
        <is>
          <t>To Do</t>
        </is>
      </c>
      <c r="M11" s="9" t="inlineStr"/>
    </row>
    <row r="12">
      <c r="A12" s="7" t="inlineStr">
        <is>
          <t>US-012</t>
        </is>
      </c>
      <c r="B12" s="7" t="inlineStr">
        <is>
          <t>E02</t>
        </is>
      </c>
      <c r="C12" s="8" t="inlineStr">
        <is>
          <t>Onboarding, Auth &amp; Account</t>
        </is>
      </c>
      <c r="D12" s="8" t="inlineStr">
        <is>
          <t>Sign in with Apple and Google</t>
        </is>
      </c>
      <c r="E12" s="8" t="inlineStr">
        <is>
          <t>As a user I want one-tap login so that I can start without typing a password.</t>
        </is>
      </c>
      <c r="F12" s="8" t="inlineStr">
        <is>
          <t>1) Sign in with Apple mandatory on iOS if any social login is offered. 2) Google Sign-In on Android. 3) Account linking on matching email. 4) Apple private-relay addresses handled.</t>
        </is>
      </c>
      <c r="G12" s="14" t="inlineStr">
        <is>
          <t>Must</t>
        </is>
      </c>
      <c r="H12" s="15" t="n">
        <v>5</v>
      </c>
      <c r="I12" s="16" t="inlineStr">
        <is>
          <t>MVP</t>
        </is>
      </c>
      <c r="J12" s="7" t="inlineStr">
        <is>
          <t>Mobile</t>
        </is>
      </c>
      <c r="K12" s="7" t="inlineStr">
        <is>
          <t>US-011</t>
        </is>
      </c>
      <c r="L12" s="9" t="inlineStr">
        <is>
          <t>To Do</t>
        </is>
      </c>
      <c r="M12" s="9" t="inlineStr"/>
    </row>
    <row r="13">
      <c r="A13" s="10" t="inlineStr">
        <is>
          <t>US-013</t>
        </is>
      </c>
      <c r="B13" s="10" t="inlineStr">
        <is>
          <t>E02</t>
        </is>
      </c>
      <c r="C13" s="11" t="inlineStr">
        <is>
          <t>Onboarding, Auth &amp; Account</t>
        </is>
      </c>
      <c r="D13" s="11" t="inlineStr">
        <is>
          <t>Guest mode with later account claim</t>
        </is>
      </c>
      <c r="E13" s="11" t="inlineStr">
        <is>
          <t>As a curious visitor I want a chart without signing up so that I can evaluate the app first.</t>
        </is>
      </c>
      <c r="F13" s="11" t="inlineStr">
        <is>
          <t>1) Full free chart and career page available as a guest. 2) Stored locally with an anonymous ID. 3) Guest data migrates on sign-up. 4) Checkout requires a real account.</t>
        </is>
      </c>
      <c r="G13" s="19" t="inlineStr">
        <is>
          <t>Should</t>
        </is>
      </c>
      <c r="H13" s="18" t="n">
        <v>5</v>
      </c>
      <c r="I13" s="16" t="inlineStr">
        <is>
          <t>MVP</t>
        </is>
      </c>
      <c r="J13" s="10" t="inlineStr">
        <is>
          <t>Mobile</t>
        </is>
      </c>
      <c r="K13" s="10" t="inlineStr">
        <is>
          <t>US-011</t>
        </is>
      </c>
      <c r="L13" s="9" t="inlineStr">
        <is>
          <t>To Do</t>
        </is>
      </c>
      <c r="M13" s="9" t="inlineStr"/>
    </row>
    <row r="14">
      <c r="A14" s="7" t="inlineStr">
        <is>
          <t>US-014</t>
        </is>
      </c>
      <c r="B14" s="7" t="inlineStr">
        <is>
          <t>E02</t>
        </is>
      </c>
      <c r="C14" s="8" t="inlineStr">
        <is>
          <t>Onboarding, Auth &amp; Account</t>
        </is>
      </c>
      <c r="D14" s="8" t="inlineStr">
        <is>
          <t>Profile management &amp; multiple people</t>
        </is>
      </c>
      <c r="E14" s="8" t="inlineStr">
        <is>
          <t>As a user I want charts for family and friends so that I can order evaluations for them too.</t>
        </is>
      </c>
      <c r="F14" s="8" t="inlineStr">
        <is>
          <t>1) Up to 10 saved profiles. 2) Name, birth data, relationship, optional photo. 3) Edit and delete with confirmation. 4) Editing birth data recalculates and warns if a paid report exists.</t>
        </is>
      </c>
      <c r="G14" s="14" t="inlineStr">
        <is>
          <t>Must</t>
        </is>
      </c>
      <c r="H14" s="15" t="n">
        <v>5</v>
      </c>
      <c r="I14" s="16" t="inlineStr">
        <is>
          <t>MVP</t>
        </is>
      </c>
      <c r="J14" s="7" t="inlineStr">
        <is>
          <t>Mobile</t>
        </is>
      </c>
      <c r="K14" s="7" t="inlineStr">
        <is>
          <t>US-030</t>
        </is>
      </c>
      <c r="L14" s="9" t="inlineStr">
        <is>
          <t>To Do</t>
        </is>
      </c>
      <c r="M14" s="9" t="inlineStr"/>
    </row>
    <row r="15">
      <c r="A15" s="10" t="inlineStr">
        <is>
          <t>US-015</t>
        </is>
      </c>
      <c r="B15" s="10" t="inlineStr">
        <is>
          <t>E02</t>
        </is>
      </c>
      <c r="C15" s="11" t="inlineStr">
        <is>
          <t>Onboarding, Auth &amp; Account</t>
        </is>
      </c>
      <c r="D15" s="11" t="inlineStr">
        <is>
          <t>Account deletion (self-service)</t>
        </is>
      </c>
      <c r="E15" s="11" t="inlineStr">
        <is>
          <t>As a user I want to delete my account in-app so that my right to erasure is honoured.</t>
        </is>
      </c>
      <c r="F15" s="11" t="inlineStr">
        <is>
          <t>1) Reachable in three taps or fewer from Profile. 2) Explains what is deleted versus retained for tax law. 3) Hard delete within 30 days with confirmation email. 4) Required by Apple guideline 5.1.1(v).</t>
        </is>
      </c>
      <c r="G15" s="17" t="inlineStr">
        <is>
          <t>Must</t>
        </is>
      </c>
      <c r="H15" s="18" t="n">
        <v>5</v>
      </c>
      <c r="I15" s="16" t="inlineStr">
        <is>
          <t>MVP</t>
        </is>
      </c>
      <c r="J15" s="10" t="inlineStr">
        <is>
          <t>Backend</t>
        </is>
      </c>
      <c r="K15" s="10" t="inlineStr">
        <is>
          <t>US-011</t>
        </is>
      </c>
      <c r="L15" s="9" t="inlineStr">
        <is>
          <t>To Do</t>
        </is>
      </c>
      <c r="M15" s="9" t="inlineStr"/>
    </row>
    <row r="16">
      <c r="A16" s="7" t="inlineStr">
        <is>
          <t>US-016</t>
        </is>
      </c>
      <c r="B16" s="7" t="inlineStr">
        <is>
          <t>E02</t>
        </is>
      </c>
      <c r="C16" s="8" t="inlineStr">
        <is>
          <t>Onboarding, Auth &amp; Account</t>
        </is>
      </c>
      <c r="D16" s="8" t="inlineStr">
        <is>
          <t>Session management &amp; token refresh</t>
        </is>
      </c>
      <c r="E16" s="8" t="inlineStr">
        <is>
          <t>As a user I want to stay logged in securely so that I am not constantly re-authenticating.</t>
        </is>
      </c>
      <c r="F16" s="8" t="inlineStr">
        <is>
          <t>1) Short-lived access token with rotating refresh token. 2) Stored in Keychain/Keystore. 3) Remote sign-out of all devices. 4) Sessions invalidated on password change.</t>
        </is>
      </c>
      <c r="G16" s="14" t="inlineStr">
        <is>
          <t>Must</t>
        </is>
      </c>
      <c r="H16" s="15" t="n">
        <v>5</v>
      </c>
      <c r="I16" s="16" t="inlineStr">
        <is>
          <t>MVP</t>
        </is>
      </c>
      <c r="J16" s="7" t="inlineStr">
        <is>
          <t>Backend</t>
        </is>
      </c>
      <c r="K16" s="7" t="inlineStr">
        <is>
          <t>US-011</t>
        </is>
      </c>
      <c r="L16" s="9" t="inlineStr">
        <is>
          <t>To Do</t>
        </is>
      </c>
      <c r="M16" s="9" t="inlineStr"/>
    </row>
    <row r="17">
      <c r="A17" s="10" t="inlineStr">
        <is>
          <t>US-020</t>
        </is>
      </c>
      <c r="B17" s="10" t="inlineStr">
        <is>
          <t>E03</t>
        </is>
      </c>
      <c r="C17" s="11" t="inlineStr">
        <is>
          <t>Birth Data Capture &amp; Time/Geo Resolution</t>
        </is>
      </c>
      <c r="D17" s="11" t="inlineStr">
        <is>
          <t>Birth date, time and 'time unknown' capture</t>
        </is>
      </c>
      <c r="E17" s="11" t="inlineStr">
        <is>
          <t>As a user I want to enter birth details in German format so that my chart is calculated correctly.</t>
        </is>
      </c>
      <c r="F17" s="11" t="inlineStr">
        <is>
          <t>1) DD.MM.YYYY and 24-hour HH:mm. 2) 'Time unknown' triggers a solar-chart fallback with a clear caveat. 3) No future dates, year 1800 or later. 4) Inline explanation of why the exact minute matters.</t>
        </is>
      </c>
      <c r="G17" s="17" t="inlineStr">
        <is>
          <t>Must</t>
        </is>
      </c>
      <c r="H17" s="18" t="n">
        <v>5</v>
      </c>
      <c r="I17" s="16" t="inlineStr">
        <is>
          <t>MVP</t>
        </is>
      </c>
      <c r="J17" s="10" t="inlineStr">
        <is>
          <t>Mobile</t>
        </is>
      </c>
      <c r="K17" s="10" t="inlineStr">
        <is>
          <t>US-005</t>
        </is>
      </c>
      <c r="L17" s="9" t="inlineStr">
        <is>
          <t>To Do</t>
        </is>
      </c>
      <c r="M17" s="9" t="inlineStr"/>
    </row>
    <row r="18">
      <c r="A18" s="7" t="inlineStr">
        <is>
          <t>US-021</t>
        </is>
      </c>
      <c r="B18" s="7" t="inlineStr">
        <is>
          <t>E03</t>
        </is>
      </c>
      <c r="C18" s="8" t="inlineStr">
        <is>
          <t>Birth Data Capture &amp; Time/Geo Resolution</t>
        </is>
      </c>
      <c r="D18" s="8" t="inlineStr">
        <is>
          <t>Birthplace autocomplete with geocoding</t>
        </is>
      </c>
      <c r="E18" s="8" t="inlineStr">
        <is>
          <t>As a user I want to search my birth town so that latitude and longitude are exact.</t>
        </is>
      </c>
      <c r="F18" s="8" t="inlineStr">
        <is>
          <t>1) Type-ahead over a global gazetteer with German exonyms (Mailand, Prag, Warschau). 2) Returns lat/long to four decimals plus country. 3) Works for Indian, Turkish and German towns. 4) Manual coordinate entry as a fallback.</t>
        </is>
      </c>
      <c r="G18" s="14" t="inlineStr">
        <is>
          <t>Must</t>
        </is>
      </c>
      <c r="H18" s="15" t="n">
        <v>8</v>
      </c>
      <c r="I18" s="16" t="inlineStr">
        <is>
          <t>MVP</t>
        </is>
      </c>
      <c r="J18" s="7" t="inlineStr">
        <is>
          <t>Backend</t>
        </is>
      </c>
      <c r="K18" s="7" t="inlineStr">
        <is>
          <t>US-003</t>
        </is>
      </c>
      <c r="L18" s="9" t="inlineStr">
        <is>
          <t>To Do</t>
        </is>
      </c>
      <c r="M18" s="9" t="inlineStr"/>
    </row>
    <row r="19">
      <c r="A19" s="10" t="inlineStr">
        <is>
          <t>US-022</t>
        </is>
      </c>
      <c r="B19" s="10" t="inlineStr">
        <is>
          <t>E03</t>
        </is>
      </c>
      <c r="C19" s="11" t="inlineStr">
        <is>
          <t>Birth Data Capture &amp; Time/Geo Resolution</t>
        </is>
      </c>
      <c r="D19" s="11" t="inlineStr">
        <is>
          <t>Historical timezone and DST resolution</t>
        </is>
      </c>
      <c r="E19" s="11" t="inlineStr">
        <is>
          <t>As a user I want the correct historical UTC offset so that my chart is not an hour off.</t>
        </is>
      </c>
      <c r="F19" s="11" t="inlineStr">
        <is>
          <t>1) IANA tzdata lookup by coordinates AND birth date. 2) Correct for German double summer time 1945-1949 and the no-DST years 1950-1979. 3) Correct for India pre-1955. 4) Ambiguous local times prompt the user. 5) Resolved offset displayed on the chart.</t>
        </is>
      </c>
      <c r="G19" s="17" t="inlineStr">
        <is>
          <t>Must</t>
        </is>
      </c>
      <c r="H19" s="18" t="n">
        <v>8</v>
      </c>
      <c r="I19" s="16" t="inlineStr">
        <is>
          <t>MVP</t>
        </is>
      </c>
      <c r="J19" s="10" t="inlineStr">
        <is>
          <t>Backend</t>
        </is>
      </c>
      <c r="K19" s="10" t="inlineStr">
        <is>
          <t>US-021</t>
        </is>
      </c>
      <c r="L19" s="9" t="inlineStr">
        <is>
          <t>To Do</t>
        </is>
      </c>
      <c r="M19" s="9" t="inlineStr"/>
    </row>
    <row r="20">
      <c r="A20" s="7" t="inlineStr">
        <is>
          <t>US-023</t>
        </is>
      </c>
      <c r="B20" s="7" t="inlineStr">
        <is>
          <t>E03</t>
        </is>
      </c>
      <c r="C20" s="8" t="inlineStr">
        <is>
          <t>Birth Data Capture &amp; Time/Geo Resolution</t>
        </is>
      </c>
      <c r="D20" s="8" t="inlineStr">
        <is>
          <t>Birth time rectification questionnaire</t>
        </is>
      </c>
      <c r="E20" s="8" t="inlineStr">
        <is>
          <t>As a user with an uncertain birth time I want guided questions so that the astrologer can narrow my ascendant.</t>
        </is>
      </c>
      <c r="F20" s="8" t="inlineStr">
        <is>
          <t>1) 8-12 life-event questions. 2) Answers attached to the evaluation order. 3) Flagged as 'rectification requested'. 4) Priced as a paid add-on post-MVP.</t>
        </is>
      </c>
      <c r="G20" s="21" t="inlineStr">
        <is>
          <t>Could</t>
        </is>
      </c>
      <c r="H20" s="15" t="n">
        <v>8</v>
      </c>
      <c r="I20" s="9" t="inlineStr">
        <is>
          <t>R1.1</t>
        </is>
      </c>
      <c r="J20" s="7" t="inlineStr">
        <is>
          <t>Product</t>
        </is>
      </c>
      <c r="K20" s="7" t="inlineStr">
        <is>
          <t>US-060</t>
        </is>
      </c>
      <c r="L20" s="9" t="inlineStr">
        <is>
          <t>To Do</t>
        </is>
      </c>
      <c r="M20" s="9" t="inlineStr"/>
    </row>
    <row r="21">
      <c r="A21" s="10" t="inlineStr">
        <is>
          <t>US-024</t>
        </is>
      </c>
      <c r="B21" s="10" t="inlineStr">
        <is>
          <t>E03</t>
        </is>
      </c>
      <c r="C21" s="11" t="inlineStr">
        <is>
          <t>Birth Data Capture &amp; Time/Geo Resolution</t>
        </is>
      </c>
      <c r="D21" s="11" t="inlineStr">
        <is>
          <t>Birth data encryption at rest and in transit</t>
        </is>
      </c>
      <c r="E21" s="11" t="inlineStr">
        <is>
          <t>As a privacy-conscious user I want my birth details protected so that a breach does not expose sensitive data.</t>
        </is>
      </c>
      <c r="F21" s="11" t="inlineStr">
        <is>
          <t>1) Field-level encryption for name, date, time and place. 2) TLS 1.3 enforced. 3) Keys in KMS with rotation. 4) Decryption access role-gated and logged.</t>
        </is>
      </c>
      <c r="G21" s="17" t="inlineStr">
        <is>
          <t>Must</t>
        </is>
      </c>
      <c r="H21" s="18" t="n">
        <v>8</v>
      </c>
      <c r="I21" s="16" t="inlineStr">
        <is>
          <t>MVP</t>
        </is>
      </c>
      <c r="J21" s="10" t="inlineStr">
        <is>
          <t>Security</t>
        </is>
      </c>
      <c r="K21" s="10" t="inlineStr">
        <is>
          <t>US-003</t>
        </is>
      </c>
      <c r="L21" s="9" t="inlineStr">
        <is>
          <t>To Do</t>
        </is>
      </c>
      <c r="M21" s="9" t="inlineStr"/>
    </row>
    <row r="22">
      <c r="A22" s="7" t="inlineStr">
        <is>
          <t>US-030</t>
        </is>
      </c>
      <c r="B22" s="7" t="inlineStr">
        <is>
          <t>E04</t>
        </is>
      </c>
      <c r="C22" s="8" t="inlineStr">
        <is>
          <t>Vedic Calculation Engine (AGPL, client-side)</t>
        </is>
      </c>
      <c r="D22" s="8" t="inlineStr">
        <is>
          <t>AGPL boundary decision and open-source engine package</t>
        </is>
      </c>
      <c r="E22" s="8" t="inlineStr">
        <is>
          <t>As a tech lead I want the AGPL boundary drawn deliberately so that we use the free ephemeris without exposing proprietary code.</t>
        </is>
      </c>
      <c r="F22" s="8" t="inlineStr">
        <is>
          <t>1) Written decision record: Swiss Ephemeris runs CLIENT-SIDE only (Flutter via FFI, web console via WASM); the proprietary backend never links or calls it. 2) A separate PUBLIC repo 'jyotish-engine' under AGPL-3.0 containing the bindings, WASM build and rule evaluator. 3) Backend, career rules, astrologer console business logic and content remain private. 4) Reviewed by a software-licensing lawyer before launch. 5) Licence notice and repo link shown in the app under About.</t>
        </is>
      </c>
      <c r="G22" s="14" t="inlineStr">
        <is>
          <t>Must</t>
        </is>
      </c>
      <c r="H22" s="15" t="n">
        <v>8</v>
      </c>
      <c r="I22" s="16" t="inlineStr">
        <is>
          <t>MVP</t>
        </is>
      </c>
      <c r="J22" s="7" t="inlineStr">
        <is>
          <t>Engine</t>
        </is>
      </c>
      <c r="K22" s="7" t="inlineStr">
        <is>
          <t>US-003</t>
        </is>
      </c>
      <c r="L22" s="9" t="inlineStr">
        <is>
          <t>To Do</t>
        </is>
      </c>
      <c r="M22" s="9" t="inlineStr"/>
    </row>
    <row r="23">
      <c r="A23" s="10" t="inlineStr">
        <is>
          <t>US-031</t>
        </is>
      </c>
      <c r="B23" s="10" t="inlineStr">
        <is>
          <t>E04</t>
        </is>
      </c>
      <c r="C23" s="11" t="inlineStr">
        <is>
          <t>Vedic Calculation Engine (AGPL, client-side)</t>
        </is>
      </c>
      <c r="D23" s="11" t="inlineStr">
        <is>
          <t>Swiss Ephemeris via Dart FFI in the mobile app</t>
        </is>
      </c>
      <c r="E23" s="11" t="inlineStr">
        <is>
          <t>As a developer I want the ephemeris compiled into the app so that charts compute on-device at zero licence cost.</t>
        </is>
      </c>
      <c r="F23" s="11" t="inlineStr">
        <is>
          <t>1) Built for iOS arm64 and Android arm64-v8a, armeabi-v7a, x86_64. 2) Compressed ephemeris files bundled; app size increase under 25 MB. 3) A full chart computes in under 500ms on a mid-range device. 4) Memory verified on a low-end Android.</t>
        </is>
      </c>
      <c r="G23" s="17" t="inlineStr">
        <is>
          <t>Must</t>
        </is>
      </c>
      <c r="H23" s="18" t="n">
        <v>13</v>
      </c>
      <c r="I23" s="16" t="inlineStr">
        <is>
          <t>MVP</t>
        </is>
      </c>
      <c r="J23" s="10" t="inlineStr">
        <is>
          <t>Engine</t>
        </is>
      </c>
      <c r="K23" s="10" t="inlineStr">
        <is>
          <t>US-030</t>
        </is>
      </c>
      <c r="L23" s="9" t="inlineStr">
        <is>
          <t>To Do</t>
        </is>
      </c>
      <c r="M23" s="9" t="inlineStr"/>
    </row>
    <row r="24">
      <c r="A24" s="7" t="inlineStr">
        <is>
          <t>US-032</t>
        </is>
      </c>
      <c r="B24" s="7" t="inlineStr">
        <is>
          <t>E04</t>
        </is>
      </c>
      <c r="C24" s="8" t="inlineStr">
        <is>
          <t>Vedic Calculation Engine (AGPL, client-side)</t>
        </is>
      </c>
      <c r="D24" s="8" t="inlineStr">
        <is>
          <t>Swiss Ephemeris compiled to WASM for the astrologer console</t>
        </is>
      </c>
      <c r="E24" s="8" t="inlineStr">
        <is>
          <t>As an astrologer I want charts computed in my browser so that the platform backend never has to run AGPL code.</t>
        </is>
      </c>
      <c r="F24" s="8" t="inlineStr">
        <is>
          <t>1) Swiss Ephemeris compiled to WebAssembly and loaded in the console. 2) Same outputs as the mobile FFI build, verified by shared test vectors. 3) Loads in under 3 seconds. 4) Published in the public engine repo.</t>
        </is>
      </c>
      <c r="G24" s="14" t="inlineStr">
        <is>
          <t>Must</t>
        </is>
      </c>
      <c r="H24" s="15" t="n">
        <v>13</v>
      </c>
      <c r="I24" s="16" t="inlineStr">
        <is>
          <t>MVP</t>
        </is>
      </c>
      <c r="J24" s="7" t="inlineStr">
        <is>
          <t>Engine</t>
        </is>
      </c>
      <c r="K24" s="7" t="inlineStr">
        <is>
          <t>US-030</t>
        </is>
      </c>
      <c r="L24" s="9" t="inlineStr">
        <is>
          <t>To Do</t>
        </is>
      </c>
      <c r="M24" s="9" t="inlineStr"/>
    </row>
    <row r="25">
      <c r="A25" s="10" t="inlineStr">
        <is>
          <t>US-033</t>
        </is>
      </c>
      <c r="B25" s="10" t="inlineStr">
        <is>
          <t>E04</t>
        </is>
      </c>
      <c r="C25" s="11" t="inlineStr">
        <is>
          <t>Vedic Calculation Engine (AGPL, client-side)</t>
        </is>
      </c>
      <c r="D25" s="11" t="inlineStr">
        <is>
          <t>Sidereal ayanamsa support (Lahiri default)</t>
        </is>
      </c>
      <c r="E25" s="11" t="inlineStr">
        <is>
          <t>As a Vedic astrology user I want Lahiri by default so that results match Indian standards.</t>
        </is>
      </c>
      <c r="F25" s="11" t="inlineStr">
        <is>
          <t>1) Lahiri/Chitrapaksha default. 2) Raman, KP and Fagan-Bradley selectable. 3) Active ayanamsa and its value displayed. 4) Changing it recalculates and invalidates cached charts.</t>
        </is>
      </c>
      <c r="G25" s="17" t="inlineStr">
        <is>
          <t>Must</t>
        </is>
      </c>
      <c r="H25" s="18" t="n">
        <v>5</v>
      </c>
      <c r="I25" s="16" t="inlineStr">
        <is>
          <t>MVP</t>
        </is>
      </c>
      <c r="J25" s="10" t="inlineStr">
        <is>
          <t>Engine</t>
        </is>
      </c>
      <c r="K25" s="10" t="inlineStr">
        <is>
          <t>US-031</t>
        </is>
      </c>
      <c r="L25" s="9" t="inlineStr">
        <is>
          <t>To Do</t>
        </is>
      </c>
      <c r="M25" s="9" t="inlineStr"/>
    </row>
    <row r="26">
      <c r="A26" s="7" t="inlineStr">
        <is>
          <t>US-034</t>
        </is>
      </c>
      <c r="B26" s="7" t="inlineStr">
        <is>
          <t>E04</t>
        </is>
      </c>
      <c r="C26" s="8" t="inlineStr">
        <is>
          <t>Vedic Calculation Engine (AGPL, client-side)</t>
        </is>
      </c>
      <c r="D26" s="8" t="inlineStr">
        <is>
          <t>Rasi (D1) chart computation</t>
        </is>
      </c>
      <c r="E26" s="8" t="inlineStr">
        <is>
          <t>As a user I want my birth chart so that I can see planetary house placements.</t>
        </is>
      </c>
      <c r="F26" s="8" t="inlineStr">
        <is>
          <t>1) Ascendant plus nine grahas including Rahu and Ketu, mean and true node options. 2) Per planet: sign, degree, nakshatra, pada, retrograde and combustion flags. 3) Whole-sign houses by default. 4) Deterministic output.</t>
        </is>
      </c>
      <c r="G26" s="14" t="inlineStr">
        <is>
          <t>Must</t>
        </is>
      </c>
      <c r="H26" s="15" t="n">
        <v>8</v>
      </c>
      <c r="I26" s="16" t="inlineStr">
        <is>
          <t>MVP</t>
        </is>
      </c>
      <c r="J26" s="7" t="inlineStr">
        <is>
          <t>Engine</t>
        </is>
      </c>
      <c r="K26" s="7" t="inlineStr">
        <is>
          <t>US-033</t>
        </is>
      </c>
      <c r="L26" s="9" t="inlineStr">
        <is>
          <t>To Do</t>
        </is>
      </c>
      <c r="M26" s="9" t="inlineStr"/>
    </row>
    <row r="27">
      <c r="A27" s="10" t="inlineStr">
        <is>
          <t>US-035</t>
        </is>
      </c>
      <c r="B27" s="10" t="inlineStr">
        <is>
          <t>E04</t>
        </is>
      </c>
      <c r="C27" s="11" t="inlineStr">
        <is>
          <t>Vedic Calculation Engine (AGPL, client-side)</t>
        </is>
      </c>
      <c r="D27" s="11" t="inlineStr">
        <is>
          <t>Navamsa (D9), Dashamsha (D10) and other divisionals</t>
        </is>
      </c>
      <c r="E27" s="11" t="inlineStr">
        <is>
          <t>As a user I want divisional charts so that specific life areas can be analysed - D10 in particular drives the career feature.</t>
        </is>
      </c>
      <c r="F27" s="11" t="inlineStr">
        <is>
          <t>1) D9 and D10 mandatory. 2) D2, D3, D7, D12 included. 3) Odd/even sign starting rules handled correctly. 4) Validated against 20 reference charts.</t>
        </is>
      </c>
      <c r="G27" s="17" t="inlineStr">
        <is>
          <t>Must</t>
        </is>
      </c>
      <c r="H27" s="18" t="n">
        <v>8</v>
      </c>
      <c r="I27" s="16" t="inlineStr">
        <is>
          <t>MVP</t>
        </is>
      </c>
      <c r="J27" s="10" t="inlineStr">
        <is>
          <t>Engine</t>
        </is>
      </c>
      <c r="K27" s="10" t="inlineStr">
        <is>
          <t>US-034</t>
        </is>
      </c>
      <c r="L27" s="9" t="inlineStr">
        <is>
          <t>To Do</t>
        </is>
      </c>
      <c r="M27" s="9" t="inlineStr"/>
    </row>
    <row r="28">
      <c r="A28" s="7" t="inlineStr">
        <is>
          <t>US-036</t>
        </is>
      </c>
      <c r="B28" s="7" t="inlineStr">
        <is>
          <t>E04</t>
        </is>
      </c>
      <c r="C28" s="8" t="inlineStr">
        <is>
          <t>Vedic Calculation Engine (AGPL, client-side)</t>
        </is>
      </c>
      <c r="D28" s="8" t="inlineStr">
        <is>
          <t>Vimshottari dasha calculation</t>
        </is>
      </c>
      <c r="E28" s="8" t="inlineStr">
        <is>
          <t>As a user I want my dasha timeline so that I know which planetary periods are running.</t>
        </is>
      </c>
      <c r="F28" s="8" t="inlineStr">
        <is>
          <t>1) Mahadasha, antardasha and pratyantardasha with exact dates. 2) Balance at birth from the moon's nakshatra. 3) Full 120-year cycle. 4) German date formatting in local timezone.</t>
        </is>
      </c>
      <c r="G28" s="14" t="inlineStr">
        <is>
          <t>Must</t>
        </is>
      </c>
      <c r="H28" s="15" t="n">
        <v>8</v>
      </c>
      <c r="I28" s="16" t="inlineStr">
        <is>
          <t>MVP</t>
        </is>
      </c>
      <c r="J28" s="7" t="inlineStr">
        <is>
          <t>Engine</t>
        </is>
      </c>
      <c r="K28" s="7" t="inlineStr">
        <is>
          <t>US-034</t>
        </is>
      </c>
      <c r="L28" s="9" t="inlineStr">
        <is>
          <t>To Do</t>
        </is>
      </c>
      <c r="M28" s="9" t="inlineStr"/>
    </row>
    <row r="29">
      <c r="A29" s="10" t="inlineStr">
        <is>
          <t>US-037</t>
        </is>
      </c>
      <c r="B29" s="10" t="inlineStr">
        <is>
          <t>E04</t>
        </is>
      </c>
      <c r="C29" s="11" t="inlineStr">
        <is>
          <t>Vedic Calculation Engine (AGPL, client-side)</t>
        </is>
      </c>
      <c r="D29" s="11" t="inlineStr">
        <is>
          <t>Yoga and dosha detection</t>
        </is>
      </c>
      <c r="E29" s="11" t="inlineStr">
        <is>
          <t>As a user I want notable yogas and doshas identified so that my chart summary is meaningful.</t>
        </is>
      </c>
      <c r="F29" s="11" t="inlineStr">
        <is>
          <t>1) Mangal dosha, Kaal Sarp, Sade Sati, Gaja Kesari, Panch Mahapurusha, Neecha Bhanga. 2) Severity plus cancellation logic. 3) Rules stored as versioned data, not hardcoded. 4) Plain-German explanation for each.</t>
        </is>
      </c>
      <c r="G29" s="17" t="inlineStr">
        <is>
          <t>Must</t>
        </is>
      </c>
      <c r="H29" s="18" t="n">
        <v>13</v>
      </c>
      <c r="I29" s="16" t="inlineStr">
        <is>
          <t>MVP</t>
        </is>
      </c>
      <c r="J29" s="10" t="inlineStr">
        <is>
          <t>Engine</t>
        </is>
      </c>
      <c r="K29" s="10" t="inlineStr">
        <is>
          <t>US-035</t>
        </is>
      </c>
      <c r="L29" s="9" t="inlineStr">
        <is>
          <t>To Do</t>
        </is>
      </c>
      <c r="M29" s="9" t="inlineStr"/>
    </row>
    <row r="30">
      <c r="A30" s="7" t="inlineStr">
        <is>
          <t>US-038</t>
        </is>
      </c>
      <c r="B30" s="7" t="inlineStr">
        <is>
          <t>E04</t>
        </is>
      </c>
      <c r="C30" s="8" t="inlineStr">
        <is>
          <t>Vedic Calculation Engine (AGPL, client-side)</t>
        </is>
      </c>
      <c r="D30" s="8" t="inlineStr">
        <is>
          <t>Panchang and current transits</t>
        </is>
      </c>
      <c r="E30" s="8" t="inlineStr">
        <is>
          <t>As a user I want today's panchang and live transits so that I have a daily reason to open the app.</t>
        </is>
      </c>
      <c r="F30" s="8" t="inlineStr">
        <is>
          <t>1) Tithi, nakshatra, yoga, karana, vara for the current location. 2) Sunrise and sunset for German cities, correct at high summer latitudes. 3) Transits over the natal chart. 4) Cached per location per day.</t>
        </is>
      </c>
      <c r="G30" s="20" t="inlineStr">
        <is>
          <t>Should</t>
        </is>
      </c>
      <c r="H30" s="15" t="n">
        <v>8</v>
      </c>
      <c r="I30" s="16" t="inlineStr">
        <is>
          <t>MVP</t>
        </is>
      </c>
      <c r="J30" s="7" t="inlineStr">
        <is>
          <t>Engine</t>
        </is>
      </c>
      <c r="K30" s="7" t="inlineStr">
        <is>
          <t>US-034</t>
        </is>
      </c>
      <c r="L30" s="9" t="inlineStr">
        <is>
          <t>To Do</t>
        </is>
      </c>
      <c r="M30" s="9" t="inlineStr"/>
    </row>
    <row r="31">
      <c r="A31" s="10" t="inlineStr">
        <is>
          <t>US-039</t>
        </is>
      </c>
      <c r="B31" s="10" t="inlineStr">
        <is>
          <t>E04</t>
        </is>
      </c>
      <c r="C31" s="11" t="inlineStr">
        <is>
          <t>Vedic Calculation Engine (AGPL, client-side)</t>
        </is>
      </c>
      <c r="D31" s="11" t="inlineStr">
        <is>
          <t>Chart snapshot upload, caching and versioning</t>
        </is>
      </c>
      <c r="E31" s="11" t="inlineStr">
        <is>
          <t>As an engineer I want computed charts snapshotted and versioned so that reports are reproducible and the backend never computes.</t>
        </is>
      </c>
      <c r="F31" s="11" t="inlineStr">
        <is>
          <t>1) The client computes and uploads the full chart dataset (D1, divisionals, dashas, yogas) as JSON with the order. 2) Cache key includes birth data, ayanamsa, house system and engine version. 3) An engine version bump invalidates the cache. 4) Snapshots immutable and auditable.</t>
        </is>
      </c>
      <c r="G31" s="17" t="inlineStr">
        <is>
          <t>Must</t>
        </is>
      </c>
      <c r="H31" s="18" t="n">
        <v>8</v>
      </c>
      <c r="I31" s="16" t="inlineStr">
        <is>
          <t>MVP</t>
        </is>
      </c>
      <c r="J31" s="10" t="inlineStr">
        <is>
          <t>Engine</t>
        </is>
      </c>
      <c r="K31" s="10" t="inlineStr">
        <is>
          <t>US-034</t>
        </is>
      </c>
      <c r="L31" s="9" t="inlineStr">
        <is>
          <t>To Do</t>
        </is>
      </c>
      <c r="M31" s="9" t="inlineStr"/>
    </row>
    <row r="32">
      <c r="A32" s="7" t="inlineStr">
        <is>
          <t>US-040</t>
        </is>
      </c>
      <c r="B32" s="7" t="inlineStr">
        <is>
          <t>E04</t>
        </is>
      </c>
      <c r="C32" s="8" t="inlineStr">
        <is>
          <t>Vedic Calculation Engine (AGPL, client-side)</t>
        </is>
      </c>
      <c r="D32" s="8" t="inlineStr">
        <is>
          <t>Chart accuracy regression test suite</t>
        </is>
      </c>
      <c r="E32" s="8" t="inlineStr">
        <is>
          <t>As a QA lead I want golden-master tests so that engine changes never silently break accuracy.</t>
        </is>
      </c>
      <c r="F32" s="8" t="inlineStr">
        <is>
          <t>1) 50+ reference births with expected positions, dashas and yogas verified against astro.com. 2) Runs in CI on every engine change. 3) FFI and WASM builds must produce identical results. 4) Includes DST boundaries, pre-1900 births and high latitudes.</t>
        </is>
      </c>
      <c r="G32" s="14" t="inlineStr">
        <is>
          <t>Must</t>
        </is>
      </c>
      <c r="H32" s="15" t="n">
        <v>8</v>
      </c>
      <c r="I32" s="16" t="inlineStr">
        <is>
          <t>MVP</t>
        </is>
      </c>
      <c r="J32" s="7" t="inlineStr">
        <is>
          <t>QA</t>
        </is>
      </c>
      <c r="K32" s="7" t="inlineStr">
        <is>
          <t>US-037</t>
        </is>
      </c>
      <c r="L32" s="9" t="inlineStr">
        <is>
          <t>To Do</t>
        </is>
      </c>
      <c r="M32" s="9" t="inlineStr"/>
    </row>
    <row r="33">
      <c r="A33" s="10" t="inlineStr">
        <is>
          <t>US-045</t>
        </is>
      </c>
      <c r="B33" s="10" t="inlineStr">
        <is>
          <t>E05</t>
        </is>
      </c>
      <c r="C33" s="11" t="inlineStr">
        <is>
          <t>Kundali Rendering &amp; Free Insights</t>
        </is>
      </c>
      <c r="D33" s="11" t="inlineStr">
        <is>
          <t>North and South Indian chart rendering</t>
        </is>
      </c>
      <c r="E33" s="11" t="inlineStr">
        <is>
          <t>As a user I want my kundali in the traditional style so that it feels familiar.</t>
        </is>
      </c>
      <c r="F33" s="11" t="inlineStr">
        <is>
          <t>1) North Indian diamond and South Indian square, switchable. 2) Western wheel as a third option for German users. 3) Pinch to zoom and pan. 4) Renders correctly at 320dp width.</t>
        </is>
      </c>
      <c r="G33" s="17" t="inlineStr">
        <is>
          <t>Must</t>
        </is>
      </c>
      <c r="H33" s="18" t="n">
        <v>13</v>
      </c>
      <c r="I33" s="16" t="inlineStr">
        <is>
          <t>MVP</t>
        </is>
      </c>
      <c r="J33" s="10" t="inlineStr">
        <is>
          <t>Mobile</t>
        </is>
      </c>
      <c r="K33" s="10" t="inlineStr">
        <is>
          <t>US-034</t>
        </is>
      </c>
      <c r="L33" s="9" t="inlineStr">
        <is>
          <t>To Do</t>
        </is>
      </c>
      <c r="M33" s="9" t="inlineStr"/>
    </row>
    <row r="34">
      <c r="A34" s="7" t="inlineStr">
        <is>
          <t>US-046</t>
        </is>
      </c>
      <c r="B34" s="7" t="inlineStr">
        <is>
          <t>E05</t>
        </is>
      </c>
      <c r="C34" s="8" t="inlineStr">
        <is>
          <t>Kundali Rendering &amp; Free Insights</t>
        </is>
      </c>
      <c r="D34" s="8" t="inlineStr">
        <is>
          <t>Planet detail drill-down</t>
        </is>
      </c>
      <c r="E34" s="8" t="inlineStr">
        <is>
          <t>As a user I want to tap a planet for details so that I can learn what it means.</t>
        </is>
      </c>
      <c r="F34" s="8" t="inlineStr">
        <is>
          <t>1) Bottom sheet with sign, degree, nakshatra, pada, house, dignity and aspects. 2) Plain-German explanation. 3) Links to the glossary. 4) Screen reader accessible.</t>
        </is>
      </c>
      <c r="G34" s="14" t="inlineStr">
        <is>
          <t>Must</t>
        </is>
      </c>
      <c r="H34" s="15" t="n">
        <v>5</v>
      </c>
      <c r="I34" s="16" t="inlineStr">
        <is>
          <t>MVP</t>
        </is>
      </c>
      <c r="J34" s="7" t="inlineStr">
        <is>
          <t>Mobile</t>
        </is>
      </c>
      <c r="K34" s="7" t="inlineStr">
        <is>
          <t>US-045</t>
        </is>
      </c>
      <c r="L34" s="9" t="inlineStr">
        <is>
          <t>To Do</t>
        </is>
      </c>
      <c r="M34" s="9" t="inlineStr"/>
    </row>
    <row r="35">
      <c r="A35" s="10" t="inlineStr">
        <is>
          <t>US-047</t>
        </is>
      </c>
      <c r="B35" s="10" t="inlineStr">
        <is>
          <t>E05</t>
        </is>
      </c>
      <c r="C35" s="11" t="inlineStr">
        <is>
          <t>Kundali Rendering &amp; Free Insights</t>
        </is>
      </c>
      <c r="D35" s="11" t="inlineStr">
        <is>
          <t>Free auto-generated insight cards</t>
        </is>
      </c>
      <c r="E35" s="11" t="inlineStr">
        <is>
          <t>As a free user I want meaningful insights so that I see value before paying.</t>
        </is>
      </c>
      <c r="F35" s="11" t="inlineStr">
        <is>
          <t>1) Five to seven cards: ascendant, moon sign, current mahadasha, one strength, one challenge. 2) Generated from rule templates and astrologer-reviewed. 3) Labelled 'automatically generated'. 4) CTA to the EUR 11 report on the final card.</t>
        </is>
      </c>
      <c r="G35" s="17" t="inlineStr">
        <is>
          <t>Must</t>
        </is>
      </c>
      <c r="H35" s="18" t="n">
        <v>8</v>
      </c>
      <c r="I35" s="16" t="inlineStr">
        <is>
          <t>MVP</t>
        </is>
      </c>
      <c r="J35" s="10" t="inlineStr">
        <is>
          <t>Content</t>
        </is>
      </c>
      <c r="K35" s="10" t="inlineStr">
        <is>
          <t>US-037</t>
        </is>
      </c>
      <c r="L35" s="9" t="inlineStr">
        <is>
          <t>To Do</t>
        </is>
      </c>
      <c r="M35" s="9" t="inlineStr"/>
    </row>
    <row r="36">
      <c r="A36" s="7" t="inlineStr">
        <is>
          <t>US-048</t>
        </is>
      </c>
      <c r="B36" s="7" t="inlineStr">
        <is>
          <t>E05</t>
        </is>
      </c>
      <c r="C36" s="8" t="inlineStr">
        <is>
          <t>Kundali Rendering &amp; Free Insights</t>
        </is>
      </c>
      <c r="D36" s="8" t="inlineStr">
        <is>
          <t>Dasha timeline visualisation</t>
        </is>
      </c>
      <c r="E36" s="8" t="inlineStr">
        <is>
          <t>As a user I want a scrollable timeline of planetary periods so that I can see past and future phases.</t>
        </is>
      </c>
      <c r="F36" s="8" t="inlineStr">
        <is>
          <t>1) Horizontal timeline with a today marker. 2) Tap to expand antardashas. 3) German date formatting. 4) Shareable as an image.</t>
        </is>
      </c>
      <c r="G36" s="20" t="inlineStr">
        <is>
          <t>Should</t>
        </is>
      </c>
      <c r="H36" s="15" t="n">
        <v>8</v>
      </c>
      <c r="I36" s="16" t="inlineStr">
        <is>
          <t>MVP</t>
        </is>
      </c>
      <c r="J36" s="7" t="inlineStr">
        <is>
          <t>Mobile</t>
        </is>
      </c>
      <c r="K36" s="7" t="inlineStr">
        <is>
          <t>US-036</t>
        </is>
      </c>
      <c r="L36" s="9" t="inlineStr">
        <is>
          <t>To Do</t>
        </is>
      </c>
      <c r="M36" s="9" t="inlineStr"/>
    </row>
    <row r="37">
      <c r="A37" s="10" t="inlineStr">
        <is>
          <t>US-049</t>
        </is>
      </c>
      <c r="B37" s="10" t="inlineStr">
        <is>
          <t>E05</t>
        </is>
      </c>
      <c r="C37" s="11" t="inlineStr">
        <is>
          <t>Kundali Rendering &amp; Free Insights</t>
        </is>
      </c>
      <c r="D37" s="11" t="inlineStr">
        <is>
          <t>Glossary of Vedic terms in German</t>
        </is>
      </c>
      <c r="E37" s="11" t="inlineStr">
        <is>
          <t>As a German user I want a glossary so that I can follow the content.</t>
        </is>
      </c>
      <c r="F37" s="11" t="inlineStr">
        <is>
          <t>1) 80+ terms with Sanskrit, transliteration, German and English definitions. 2) Searchable. 3) In-text terms tappable. 4) Reviewed by a native German speaker.</t>
        </is>
      </c>
      <c r="G37" s="19" t="inlineStr">
        <is>
          <t>Should</t>
        </is>
      </c>
      <c r="H37" s="18" t="n">
        <v>5</v>
      </c>
      <c r="I37" s="16" t="inlineStr">
        <is>
          <t>MVP</t>
        </is>
      </c>
      <c r="J37" s="10" t="inlineStr">
        <is>
          <t>Content</t>
        </is>
      </c>
      <c r="K37" s="10" t="inlineStr">
        <is>
          <t>US-095</t>
        </is>
      </c>
      <c r="L37" s="9" t="inlineStr">
        <is>
          <t>To Do</t>
        </is>
      </c>
      <c r="M37" s="9" t="inlineStr"/>
    </row>
    <row r="38">
      <c r="A38" s="7" t="inlineStr">
        <is>
          <t>US-050</t>
        </is>
      </c>
      <c r="B38" s="7" t="inlineStr">
        <is>
          <t>E05</t>
        </is>
      </c>
      <c r="C38" s="8" t="inlineStr">
        <is>
          <t>Kundali Rendering &amp; Free Insights</t>
        </is>
      </c>
      <c r="D38" s="8" t="inlineStr">
        <is>
          <t>Share chart as image or PDF</t>
        </is>
      </c>
      <c r="E38" s="8" t="inlineStr">
        <is>
          <t>As a user I want to share my chart so that I can discuss it with friends.</t>
        </is>
      </c>
      <c r="F38" s="8" t="inlineStr">
        <is>
          <t>1) PNG and PDF export with a subtle app watermark. 2) Native share sheet. 3) Only the name the user entered appears. 4) Tracked as a growth event.</t>
        </is>
      </c>
      <c r="G38" s="21" t="inlineStr">
        <is>
          <t>Could</t>
        </is>
      </c>
      <c r="H38" s="15" t="n">
        <v>5</v>
      </c>
      <c r="I38" s="9" t="inlineStr">
        <is>
          <t>R1.1</t>
        </is>
      </c>
      <c r="J38" s="7" t="inlineStr">
        <is>
          <t>Mobile</t>
        </is>
      </c>
      <c r="K38" s="7" t="inlineStr">
        <is>
          <t>US-045</t>
        </is>
      </c>
      <c r="L38" s="9" t="inlineStr">
        <is>
          <t>To Do</t>
        </is>
      </c>
      <c r="M38" s="9" t="inlineStr"/>
    </row>
    <row r="39">
      <c r="A39" s="10" t="inlineStr">
        <is>
          <t>US-130</t>
        </is>
      </c>
      <c r="B39" s="22" t="inlineStr">
        <is>
          <t>E16</t>
        </is>
      </c>
      <c r="C39" s="11" t="inlineStr">
        <is>
          <t>Career &amp; Industry Fit (free feature)</t>
        </is>
      </c>
      <c r="D39" s="11" t="inlineStr">
        <is>
          <t>Industry selection screen</t>
        </is>
      </c>
      <c r="E39" s="11" t="inlineStr">
        <is>
          <t>As a user I want to pick the industry I work in or want to enter so that the guidance is relevant to me rather than generic.</t>
        </is>
      </c>
      <c r="F39" s="11" t="inlineStr">
        <is>
          <t>1) 15-20 industries covering the German labour market: IT &amp; software, engineering, healthcare, finance, law, education, creative &amp; media, sales &amp; marketing, logistics, skilled trades, public sector, science &amp; research, hospitality, consulting, entrepreneurship. 2) Searchable, with a short description of each. 3) Multi-select up to three for comparison. 4) Changeable at any time; the analysis regenerates instantly. 5) German industry names using terms people actually use.</t>
        </is>
      </c>
      <c r="G39" s="17" t="inlineStr">
        <is>
          <t>Must</t>
        </is>
      </c>
      <c r="H39" s="18" t="n">
        <v>5</v>
      </c>
      <c r="I39" s="16" t="inlineStr">
        <is>
          <t>MVP</t>
        </is>
      </c>
      <c r="J39" s="10" t="inlineStr">
        <is>
          <t>Career</t>
        </is>
      </c>
      <c r="K39" s="10" t="inlineStr">
        <is>
          <t>US-005</t>
        </is>
      </c>
      <c r="L39" s="9" t="inlineStr">
        <is>
          <t>To Do</t>
        </is>
      </c>
      <c r="M39" s="9" t="inlineStr"/>
    </row>
    <row r="40">
      <c r="A40" s="7" t="inlineStr">
        <is>
          <t>US-131</t>
        </is>
      </c>
      <c r="B40" s="22" t="inlineStr">
        <is>
          <t>E16</t>
        </is>
      </c>
      <c r="C40" s="8" t="inlineStr">
        <is>
          <t>Career &amp; Industry Fit (free feature)</t>
        </is>
      </c>
      <c r="D40" s="8" t="inlineStr">
        <is>
          <t>Career significator computation</t>
        </is>
      </c>
      <c r="E40" s="8" t="inlineStr">
        <is>
          <t>As the system I want to derive the classical career indicators from the chart so that the analysis rests on real Jyotish, not invented logic.</t>
        </is>
      </c>
      <c r="F40" s="8" t="inlineStr">
        <is>
          <t>1) Computes: 10th house and its lord with dignity, D10 Dashamsha chart, Amatyakaraka (Jaimini), Saturn (karma), Mercury (communication and analysis), Jupiter (advisory and teaching), Sun (authority), Mars (execution and competition), Venus (aesthetics and relationships). 2) Strength scoring per significator: exaltation, own sign, debilitation, combustion, retrogression, house placement. 3) Current mahadasha and antardasha lords factored in. 4) All computed client-side by the engine package. 5) Output is a structured, machine-readable profile - not prose.</t>
        </is>
      </c>
      <c r="G40" s="14" t="inlineStr">
        <is>
          <t>Must</t>
        </is>
      </c>
      <c r="H40" s="15" t="n">
        <v>13</v>
      </c>
      <c r="I40" s="16" t="inlineStr">
        <is>
          <t>MVP</t>
        </is>
      </c>
      <c r="J40" s="7" t="inlineStr">
        <is>
          <t>Career</t>
        </is>
      </c>
      <c r="K40" s="7" t="inlineStr">
        <is>
          <t>US-035</t>
        </is>
      </c>
      <c r="L40" s="9" t="inlineStr">
        <is>
          <t>To Do</t>
        </is>
      </c>
      <c r="M40" s="9" t="inlineStr"/>
    </row>
    <row r="41">
      <c r="A41" s="10" t="inlineStr">
        <is>
          <t>US-132</t>
        </is>
      </c>
      <c r="B41" s="22" t="inlineStr">
        <is>
          <t>E16</t>
        </is>
      </c>
      <c r="C41" s="11" t="inlineStr">
        <is>
          <t>Career &amp; Industry Fit (free feature)</t>
        </is>
      </c>
      <c r="D41" s="11" t="inlineStr">
        <is>
          <t>Industry-to-Jyotish mapping rule set</t>
        </is>
      </c>
      <c r="E41" s="11" t="inlineStr">
        <is>
          <t>As a content owner I want a versioned rule set linking industries to planetary significations so that mappings can be refined without a code release.</t>
        </is>
      </c>
      <c r="F41" s="11" t="inlineStr">
        <is>
          <t>1) Each industry maps to weighted significators, e.g. IT to Mercury, Rahu, Saturn; healthcare to Moon, Jupiter, Ketu, 6th house; finance to Mercury, Jupiter, 2nd and 11th houses; skilled trades to Mars, Saturn; creative to Venus, Moon, 5th house. 2) Stored as versioned JSON with a source note per mapping (classical text or consulting astrologer). 3) Editable via the CMS with reviewer approval. 4) Reviewed and signed off by the Vedic astrology consultant before launch. 5) Rule set version recorded on every generated analysis.</t>
        </is>
      </c>
      <c r="G41" s="17" t="inlineStr">
        <is>
          <t>Must</t>
        </is>
      </c>
      <c r="H41" s="18" t="n">
        <v>13</v>
      </c>
      <c r="I41" s="16" t="inlineStr">
        <is>
          <t>MVP</t>
        </is>
      </c>
      <c r="J41" s="10" t="inlineStr">
        <is>
          <t>Career</t>
        </is>
      </c>
      <c r="K41" s="10" t="inlineStr">
        <is>
          <t>US-131</t>
        </is>
      </c>
      <c r="L41" s="9" t="inlineStr">
        <is>
          <t>To Do</t>
        </is>
      </c>
      <c r="M41" s="9" t="inlineStr"/>
    </row>
    <row r="42">
      <c r="A42" s="7" t="inlineStr">
        <is>
          <t>US-133</t>
        </is>
      </c>
      <c r="B42" s="22" t="inlineStr">
        <is>
          <t>E16</t>
        </is>
      </c>
      <c r="C42" s="8" t="inlineStr">
        <is>
          <t>Career &amp; Industry Fit (free feature)</t>
        </is>
      </c>
      <c r="D42" s="8" t="inlineStr">
        <is>
          <t>Strengths page for the selected industry</t>
        </is>
      </c>
      <c r="E42" s="8" t="inlineStr">
        <is>
          <t>As a user I want to see where I am naturally strong in my chosen industry so that I know what to lean into.</t>
        </is>
      </c>
      <c r="F42" s="8" t="inlineStr">
        <is>
          <t>1) Four to six strengths, each tied to a specific chart factor and shown with its reasoning. 2) Written as capability, not destiny: 'your chart suggests a natural pull towards...' 3) Each strength names a concrete workplace behaviour, not an abstraction - 'explaining complex things simply' rather than 'good communication'. 4) Expandable 'why does my chart say this?' showing the rule. 5) German-first copy, reviewed for tone.</t>
        </is>
      </c>
      <c r="G42" s="14" t="inlineStr">
        <is>
          <t>Must</t>
        </is>
      </c>
      <c r="H42" s="15" t="n">
        <v>13</v>
      </c>
      <c r="I42" s="16" t="inlineStr">
        <is>
          <t>MVP</t>
        </is>
      </c>
      <c r="J42" s="7" t="inlineStr">
        <is>
          <t>Career</t>
        </is>
      </c>
      <c r="K42" s="7" t="inlineStr">
        <is>
          <t>US-132</t>
        </is>
      </c>
      <c r="L42" s="9" t="inlineStr">
        <is>
          <t>To Do</t>
        </is>
      </c>
      <c r="M42" s="9" t="inlineStr"/>
    </row>
    <row r="43">
      <c r="A43" s="10" t="inlineStr">
        <is>
          <t>US-134</t>
        </is>
      </c>
      <c r="B43" s="22" t="inlineStr">
        <is>
          <t>E16</t>
        </is>
      </c>
      <c r="C43" s="11" t="inlineStr">
        <is>
          <t>Career &amp; Industry Fit (free feature)</t>
        </is>
      </c>
      <c r="D43" s="11" t="inlineStr">
        <is>
          <t>Growth areas page (framed constructively)</t>
        </is>
      </c>
      <c r="E43" s="11" t="inlineStr">
        <is>
          <t>As a user I want to know what will take more effort so that I can work on it, without feeling written off.</t>
        </is>
      </c>
      <c r="F43" s="11" t="inlineStr">
        <is>
          <t>1) Three to five growth areas from weak or afflicted significators. 2) Framed as developable, never fixed: 'this may need conscious effort' not 'you are bad at this'. 3) Each includes one practical suggestion. 4) Explicit statement that a weak significator is not a limit, with the classical reasoning. 5) Tone reviewed against a written style guide banning fatalistic and fear-based language.</t>
        </is>
      </c>
      <c r="G43" s="17" t="inlineStr">
        <is>
          <t>Must</t>
        </is>
      </c>
      <c r="H43" s="18" t="n">
        <v>13</v>
      </c>
      <c r="I43" s="16" t="inlineStr">
        <is>
          <t>MVP</t>
        </is>
      </c>
      <c r="J43" s="10" t="inlineStr">
        <is>
          <t>Career</t>
        </is>
      </c>
      <c r="K43" s="10" t="inlineStr">
        <is>
          <t>US-133</t>
        </is>
      </c>
      <c r="L43" s="9" t="inlineStr">
        <is>
          <t>To Do</t>
        </is>
      </c>
      <c r="M43" s="9" t="inlineStr"/>
    </row>
    <row r="44">
      <c r="A44" s="7" t="inlineStr">
        <is>
          <t>US-135</t>
        </is>
      </c>
      <c r="B44" s="22" t="inlineStr">
        <is>
          <t>E16</t>
        </is>
      </c>
      <c r="C44" s="8" t="inlineStr">
        <is>
          <t>Career &amp; Industry Fit (free feature)</t>
        </is>
      </c>
      <c r="D44" s="8" t="inlineStr">
        <is>
          <t>Role suggestions within the industry</t>
        </is>
      </c>
      <c r="E44" s="8" t="inlineStr">
        <is>
          <t>As a user I want specific roles suggested so that the guidance is actionable rather than vague.</t>
        </is>
      </c>
      <c r="F44" s="8" t="inlineStr">
        <is>
          <t>1) Three to five roles within the chosen industry, ranked by fit score. 2) Each role names the chart factors supporting it and the skills to build. 3) Role catalogue of 100+ roles across the industries, mapped to significators. 4) Uses real German job titles as advertised on the market. 5) Never states the user cannot do a role - only relative fit.</t>
        </is>
      </c>
      <c r="G44" s="14" t="inlineStr">
        <is>
          <t>Must</t>
        </is>
      </c>
      <c r="H44" s="15" t="n">
        <v>13</v>
      </c>
      <c r="I44" s="16" t="inlineStr">
        <is>
          <t>MVP</t>
        </is>
      </c>
      <c r="J44" s="7" t="inlineStr">
        <is>
          <t>Career</t>
        </is>
      </c>
      <c r="K44" s="7" t="inlineStr">
        <is>
          <t>US-132</t>
        </is>
      </c>
      <c r="L44" s="9" t="inlineStr">
        <is>
          <t>To Do</t>
        </is>
      </c>
      <c r="M44" s="9" t="inlineStr"/>
    </row>
    <row r="45">
      <c r="A45" s="10" t="inlineStr">
        <is>
          <t>US-136</t>
        </is>
      </c>
      <c r="B45" s="22" t="inlineStr">
        <is>
          <t>E16</t>
        </is>
      </c>
      <c r="C45" s="11" t="inlineStr">
        <is>
          <t>Career &amp; Industry Fit (free feature)</t>
        </is>
      </c>
      <c r="D45" s="11" t="inlineStr">
        <is>
          <t>Career timing from the dasha cycle</t>
        </is>
      </c>
      <c r="E45" s="11" t="inlineStr">
        <is>
          <t>As a user I want to know when career periods are favourable so that I can plan moves.</t>
        </is>
      </c>
      <c r="F45" s="11" t="inlineStr">
        <is>
          <t>1) Highlights upcoming mahadasha and antardasha periods involving career significators. 2) Shows next three to five notable transitions with dates. 3) Framed as timing guidance, never as instruction. 4) Links into the dasha timeline view.</t>
        </is>
      </c>
      <c r="G45" s="19" t="inlineStr">
        <is>
          <t>Should</t>
        </is>
      </c>
      <c r="H45" s="18" t="n">
        <v>8</v>
      </c>
      <c r="I45" s="16" t="inlineStr">
        <is>
          <t>MVP</t>
        </is>
      </c>
      <c r="J45" s="10" t="inlineStr">
        <is>
          <t>Career</t>
        </is>
      </c>
      <c r="K45" s="10" t="inlineStr">
        <is>
          <t>US-036</t>
        </is>
      </c>
      <c r="L45" s="9" t="inlineStr">
        <is>
          <t>To Do</t>
        </is>
      </c>
      <c r="M45" s="9" t="inlineStr"/>
    </row>
    <row r="46">
      <c r="A46" s="7" t="inlineStr">
        <is>
          <t>US-137</t>
        </is>
      </c>
      <c r="B46" s="22" t="inlineStr">
        <is>
          <t>E16</t>
        </is>
      </c>
      <c r="C46" s="8" t="inlineStr">
        <is>
          <t>Career &amp; Industry Fit (free feature)</t>
        </is>
      </c>
      <c r="D46" s="8" t="inlineStr">
        <is>
          <t>Compare up to three industries</t>
        </is>
      </c>
      <c r="E46" s="8" t="inlineStr">
        <is>
          <t>As an undecided user I want to compare industries side by side so that I can choose a direction.</t>
        </is>
      </c>
      <c r="F46" s="8" t="inlineStr">
        <is>
          <t>1) Side-by-side fit scores for up to three industries. 2) Shows which chart factors favour each. 3) Explicitly does not declare a winner - presents the trade-offs. 4) Shareable as an image.</t>
        </is>
      </c>
      <c r="G46" s="20" t="inlineStr">
        <is>
          <t>Should</t>
        </is>
      </c>
      <c r="H46" s="15" t="n">
        <v>8</v>
      </c>
      <c r="I46" s="9" t="inlineStr">
        <is>
          <t>R1.1</t>
        </is>
      </c>
      <c r="J46" s="7" t="inlineStr">
        <is>
          <t>Career</t>
        </is>
      </c>
      <c r="K46" s="7" t="inlineStr">
        <is>
          <t>US-135</t>
        </is>
      </c>
      <c r="L46" s="9" t="inlineStr">
        <is>
          <t>To Do</t>
        </is>
      </c>
      <c r="M46" s="9" t="inlineStr"/>
    </row>
    <row r="47">
      <c r="A47" s="10" t="inlineStr">
        <is>
          <t>US-138</t>
        </is>
      </c>
      <c r="B47" s="22" t="inlineStr">
        <is>
          <t>E16</t>
        </is>
      </c>
      <c r="C47" s="11" t="inlineStr">
        <is>
          <t>Career &amp; Industry Fit (free feature)</t>
        </is>
      </c>
      <c r="D47" s="11" t="inlineStr">
        <is>
          <t>Career analysis disclaimer and framing</t>
        </is>
      </c>
      <c r="E47" s="11" t="inlineStr">
        <is>
          <t>As a responsible product owner I want careful framing so that nobody makes an irreversible career decision on an app's say-so.</t>
        </is>
      </c>
      <c r="F47" s="11" t="inlineStr">
        <is>
          <t>1) Persistent, non-dismissible framing: for self-reflection alongside real career advice, not a substitute for it. 2) Never states someone will fail, should quit, or is unsuited to a field. 3) No claims about earnings, hiring outcomes or job success rates. 4) NOT usable by employers to assess candidates - stated in the terms of service. 5) Reviewed by legal before launch.</t>
        </is>
      </c>
      <c r="G47" s="17" t="inlineStr">
        <is>
          <t>Must</t>
        </is>
      </c>
      <c r="H47" s="18" t="n">
        <v>5</v>
      </c>
      <c r="I47" s="16" t="inlineStr">
        <is>
          <t>MVP</t>
        </is>
      </c>
      <c r="J47" s="10" t="inlineStr">
        <is>
          <t>Career</t>
        </is>
      </c>
      <c r="K47" s="10" t="inlineStr">
        <is>
          <t>US-135</t>
        </is>
      </c>
      <c r="L47" s="9" t="inlineStr">
        <is>
          <t>To Do</t>
        </is>
      </c>
      <c r="M47" s="9" t="inlineStr"/>
    </row>
    <row r="48">
      <c r="A48" s="7" t="inlineStr">
        <is>
          <t>US-139</t>
        </is>
      </c>
      <c r="B48" s="22" t="inlineStr">
        <is>
          <t>E16</t>
        </is>
      </c>
      <c r="C48" s="8" t="inlineStr">
        <is>
          <t>Career &amp; Industry Fit (free feature)</t>
        </is>
      </c>
      <c r="D48" s="8" t="inlineStr">
        <is>
          <t>Career upsell into the expert report</t>
        </is>
      </c>
      <c r="E48" s="8" t="inlineStr">
        <is>
          <t>As a product owner I want the career page to convert so that the free feature drives paid orders.</t>
        </is>
      </c>
      <c r="F48" s="8" t="inlineStr">
        <is>
          <t>1) A contextual CTA after the career analysis: 'get an astrologer's personal reading of your career chart'. 2) Career questions pre-filled as suggestions in the order flow. 3) Conversion from the career page tracked as a distinct funnel. 4) Not intrusive - one CTA, at the end, dismissible.</t>
        </is>
      </c>
      <c r="G48" s="14" t="inlineStr">
        <is>
          <t>Must</t>
        </is>
      </c>
      <c r="H48" s="15" t="n">
        <v>5</v>
      </c>
      <c r="I48" s="16" t="inlineStr">
        <is>
          <t>MVP</t>
        </is>
      </c>
      <c r="J48" s="7" t="inlineStr">
        <is>
          <t>Career</t>
        </is>
      </c>
      <c r="K48" s="7" t="inlineStr">
        <is>
          <t>US-055</t>
        </is>
      </c>
      <c r="L48" s="9" t="inlineStr">
        <is>
          <t>To Do</t>
        </is>
      </c>
      <c r="M48" s="9" t="inlineStr"/>
    </row>
    <row r="49">
      <c r="A49" s="10" t="inlineStr">
        <is>
          <t>US-140</t>
        </is>
      </c>
      <c r="B49" s="22" t="inlineStr">
        <is>
          <t>E16</t>
        </is>
      </c>
      <c r="C49" s="11" t="inlineStr">
        <is>
          <t>Career &amp; Industry Fit (free feature)</t>
        </is>
      </c>
      <c r="D49" s="11" t="inlineStr">
        <is>
          <t>Career section in the expert report template</t>
        </is>
      </c>
      <c r="E49" s="11" t="inlineStr">
        <is>
          <t>As a paying customer I want the astrologer to address my career specifically so that the report builds on what the app showed me.</t>
        </is>
      </c>
      <c r="F49" s="11" t="inlineStr">
        <is>
          <t>1) The report template includes a career section referencing the user's selected industry. 2) The astrologer sees the auto-generated career analysis and the industry choice in the workbench. 3) Astrologer may disagree with the automated output and must explain why. 4) Minimum word count enforced.</t>
        </is>
      </c>
      <c r="G49" s="17" t="inlineStr">
        <is>
          <t>Must</t>
        </is>
      </c>
      <c r="H49" s="18" t="n">
        <v>5</v>
      </c>
      <c r="I49" s="16" t="inlineStr">
        <is>
          <t>MVP</t>
        </is>
      </c>
      <c r="J49" s="10" t="inlineStr">
        <is>
          <t>Career</t>
        </is>
      </c>
      <c r="K49" s="10" t="inlineStr">
        <is>
          <t>US-069</t>
        </is>
      </c>
      <c r="L49" s="9" t="inlineStr">
        <is>
          <t>To Do</t>
        </is>
      </c>
      <c r="M49" s="9" t="inlineStr"/>
    </row>
    <row r="50">
      <c r="A50" s="7" t="inlineStr">
        <is>
          <t>US-055</t>
        </is>
      </c>
      <c r="B50" s="7" t="inlineStr">
        <is>
          <t>E06</t>
        </is>
      </c>
      <c r="C50" s="8" t="inlineStr">
        <is>
          <t>Expert Kundali Evaluation - Customer Flow</t>
        </is>
      </c>
      <c r="D50" s="8" t="inlineStr">
        <is>
          <t>Evaluation product landing screen</t>
        </is>
      </c>
      <c r="E50" s="8" t="inlineStr">
        <is>
          <t>As a user I want to understand what the EUR 11 evaluation includes so that I can decide to buy.</t>
        </is>
      </c>
      <c r="F50" s="8" t="inlineStr">
        <is>
          <t>1) Shows the deliverable (10-15 page PDF plus three questions answered), 72h turnaround, astrologer credentials. 2) Price shown as 'EUR 11,00 inkl. MwSt.' 3) Sample report preview. 4) Trust signals: reviews and refund policy.</t>
        </is>
      </c>
      <c r="G50" s="14" t="inlineStr">
        <is>
          <t>Must</t>
        </is>
      </c>
      <c r="H50" s="15" t="n">
        <v>5</v>
      </c>
      <c r="I50" s="16" t="inlineStr">
        <is>
          <t>MVP</t>
        </is>
      </c>
      <c r="J50" s="7" t="inlineStr">
        <is>
          <t>Product</t>
        </is>
      </c>
      <c r="K50" s="7" t="inlineStr">
        <is>
          <t>US-047</t>
        </is>
      </c>
      <c r="L50" s="9" t="inlineStr">
        <is>
          <t>To Do</t>
        </is>
      </c>
      <c r="M50" s="9" t="inlineStr"/>
    </row>
    <row r="51">
      <c r="A51" s="10" t="inlineStr">
        <is>
          <t>US-056</t>
        </is>
      </c>
      <c r="B51" s="10" t="inlineStr">
        <is>
          <t>E06</t>
        </is>
      </c>
      <c r="C51" s="11" t="inlineStr">
        <is>
          <t>Expert Kundali Evaluation - Customer Flow</t>
        </is>
      </c>
      <c r="D51" s="11" t="inlineStr">
        <is>
          <t>Select profile and confirm birth data before order</t>
        </is>
      </c>
      <c r="E51" s="11" t="inlineStr">
        <is>
          <t>As a buyer I want to confirm whose chart is evaluated so that I do not pay for the wrong person.</t>
        </is>
      </c>
      <c r="F51" s="11" t="inlineStr">
        <is>
          <t>1) Profile picker plus editable birth data summary. 2) Explicit 'these details are correct' checkbox. 3) Warning that wrong data affects refund eligibility. 4) Data snapshotted once paid.</t>
        </is>
      </c>
      <c r="G51" s="17" t="inlineStr">
        <is>
          <t>Must</t>
        </is>
      </c>
      <c r="H51" s="18" t="n">
        <v>5</v>
      </c>
      <c r="I51" s="16" t="inlineStr">
        <is>
          <t>MVP</t>
        </is>
      </c>
      <c r="J51" s="10" t="inlineStr">
        <is>
          <t>Mobile</t>
        </is>
      </c>
      <c r="K51" s="10" t="inlineStr">
        <is>
          <t>US-014</t>
        </is>
      </c>
      <c r="L51" s="9" t="inlineStr">
        <is>
          <t>To Do</t>
        </is>
      </c>
      <c r="M51" s="9" t="inlineStr"/>
    </row>
    <row r="52">
      <c r="A52" s="7" t="inlineStr">
        <is>
          <t>US-057</t>
        </is>
      </c>
      <c r="B52" s="7" t="inlineStr">
        <is>
          <t>E06</t>
        </is>
      </c>
      <c r="C52" s="8" t="inlineStr">
        <is>
          <t>Expert Kundali Evaluation - Customer Flow</t>
        </is>
      </c>
      <c r="D52" s="8" t="inlineStr">
        <is>
          <t>Ask up to three focus questions</t>
        </is>
      </c>
      <c r="E52" s="8" t="inlineStr">
        <is>
          <t>As a buyer I want to submit my own questions so that the report answers what I care about.</t>
        </is>
      </c>
      <c r="F52" s="8" t="inlineStr">
        <is>
          <t>1) Up to three free-text questions, 500 characters each. 2) Suggested chips including career, drawn from the user's selected industry. 3) Abuse filter. 4) Visible only to the assigned astrologer.</t>
        </is>
      </c>
      <c r="G52" s="14" t="inlineStr">
        <is>
          <t>Must</t>
        </is>
      </c>
      <c r="H52" s="15" t="n">
        <v>5</v>
      </c>
      <c r="I52" s="16" t="inlineStr">
        <is>
          <t>MVP</t>
        </is>
      </c>
      <c r="J52" s="7" t="inlineStr">
        <is>
          <t>Mobile</t>
        </is>
      </c>
      <c r="K52" s="7" t="inlineStr">
        <is>
          <t>US-056</t>
        </is>
      </c>
      <c r="L52" s="9" t="inlineStr">
        <is>
          <t>To Do</t>
        </is>
      </c>
      <c r="M52" s="9" t="inlineStr"/>
    </row>
    <row r="53">
      <c r="A53" s="10" t="inlineStr">
        <is>
          <t>US-058</t>
        </is>
      </c>
      <c r="B53" s="10" t="inlineStr">
        <is>
          <t>E06</t>
        </is>
      </c>
      <c r="C53" s="11" t="inlineStr">
        <is>
          <t>Expert Kundali Evaluation - Customer Flow</t>
        </is>
      </c>
      <c r="D53" s="11" t="inlineStr">
        <is>
          <t>Checkout with EUR 11 payment</t>
        </is>
      </c>
      <c r="E53" s="11" t="inlineStr">
        <is>
          <t>As a buyer I want to pay quickly with a method I trust so that I complete the purchase.</t>
        </is>
      </c>
      <c r="F53" s="11" t="inlineStr">
        <is>
          <t>1) Stripe Payment Element with SEPA, Klarna, PayPal, cards, Apple Pay and Google Pay. 2) EUR pricing, VAT-inclusive display. 3) 3DS/SCA handled. 4) Payment success creates the order atomically; failure never creates a phantom order.</t>
        </is>
      </c>
      <c r="G53" s="17" t="inlineStr">
        <is>
          <t>Must</t>
        </is>
      </c>
      <c r="H53" s="18" t="n">
        <v>13</v>
      </c>
      <c r="I53" s="16" t="inlineStr">
        <is>
          <t>MVP</t>
        </is>
      </c>
      <c r="J53" s="10" t="inlineStr">
        <is>
          <t>Payments</t>
        </is>
      </c>
      <c r="K53" s="10" t="inlineStr">
        <is>
          <t>US-075</t>
        </is>
      </c>
      <c r="L53" s="9" t="inlineStr">
        <is>
          <t>To Do</t>
        </is>
      </c>
      <c r="M53" s="9" t="inlineStr"/>
    </row>
    <row r="54">
      <c r="A54" s="7" t="inlineStr">
        <is>
          <t>US-059</t>
        </is>
      </c>
      <c r="B54" s="7" t="inlineStr">
        <is>
          <t>E06</t>
        </is>
      </c>
      <c r="C54" s="8" t="inlineStr">
        <is>
          <t>Expert Kundali Evaluation - Customer Flow</t>
        </is>
      </c>
      <c r="D54" s="8" t="inlineStr">
        <is>
          <t>Order confirmation and status tracking</t>
        </is>
      </c>
      <c r="E54" s="8" t="inlineStr">
        <is>
          <t>As a buyer I want to see where my evaluation is so that I am not left wondering.</t>
        </is>
      </c>
      <c r="F54" s="8" t="inlineStr">
        <is>
          <t>1) States: Paid, Assigned, In Analysis, In Review, Delivered. 2) Countdown to the 72h SLA. 3) Push and email on each transition. 4) Visible under Profile &gt; My Evaluations.</t>
        </is>
      </c>
      <c r="G54" s="14" t="inlineStr">
        <is>
          <t>Must</t>
        </is>
      </c>
      <c r="H54" s="15" t="n">
        <v>8</v>
      </c>
      <c r="I54" s="16" t="inlineStr">
        <is>
          <t>MVP</t>
        </is>
      </c>
      <c r="J54" s="7" t="inlineStr">
        <is>
          <t>Mobile</t>
        </is>
      </c>
      <c r="K54" s="7" t="inlineStr">
        <is>
          <t>US-058</t>
        </is>
      </c>
      <c r="L54" s="9" t="inlineStr">
        <is>
          <t>To Do</t>
        </is>
      </c>
      <c r="M54" s="9" t="inlineStr"/>
    </row>
    <row r="55">
      <c r="A55" s="10" t="inlineStr">
        <is>
          <t>US-060</t>
        </is>
      </c>
      <c r="B55" s="10" t="inlineStr">
        <is>
          <t>E06</t>
        </is>
      </c>
      <c r="C55" s="11" t="inlineStr">
        <is>
          <t>Expert Kundali Evaluation - Customer Flow</t>
        </is>
      </c>
      <c r="D55" s="11" t="inlineStr">
        <is>
          <t>Order data snapshot and immutability</t>
        </is>
      </c>
      <c r="E55" s="11" t="inlineStr">
        <is>
          <t>As an operations lead I want each paid order to freeze its inputs so that disputes can be resolved factually.</t>
        </is>
      </c>
      <c r="F55" s="11" t="inlineStr">
        <is>
          <t>1) Birth data, questions, industry selection, chart dataset, engine version and rule-set version snapshotted at payment. 2) Later profile edits do not alter the order. 3) Retrievable in admin. 4) Immutable audit log.</t>
        </is>
      </c>
      <c r="G55" s="17" t="inlineStr">
        <is>
          <t>Must</t>
        </is>
      </c>
      <c r="H55" s="18" t="n">
        <v>5</v>
      </c>
      <c r="I55" s="16" t="inlineStr">
        <is>
          <t>MVP</t>
        </is>
      </c>
      <c r="J55" s="10" t="inlineStr">
        <is>
          <t>Backend</t>
        </is>
      </c>
      <c r="K55" s="10" t="inlineStr">
        <is>
          <t>US-058</t>
        </is>
      </c>
      <c r="L55" s="9" t="inlineStr">
        <is>
          <t>To Do</t>
        </is>
      </c>
      <c r="M55" s="9" t="inlineStr"/>
    </row>
    <row r="56">
      <c r="A56" s="7" t="inlineStr">
        <is>
          <t>US-061</t>
        </is>
      </c>
      <c r="B56" s="7" t="inlineStr">
        <is>
          <t>E06</t>
        </is>
      </c>
      <c r="C56" s="8" t="inlineStr">
        <is>
          <t>Expert Kundali Evaluation - Customer Flow</t>
        </is>
      </c>
      <c r="D56" s="8" t="inlineStr">
        <is>
          <t>Receive and read the evaluation report</t>
        </is>
      </c>
      <c r="E56" s="8" t="inlineStr">
        <is>
          <t>As a buyer I want to read my report in-app and download it so that I can keep it.</t>
        </is>
      </c>
      <c r="F56" s="8" t="inlineStr">
        <is>
          <t>1) In-app reader with sections and bookmarks. 2) PDF download in the chosen language. 3) Stored permanently until account deletion. 4) Signed, expiring download URLs.</t>
        </is>
      </c>
      <c r="G56" s="14" t="inlineStr">
        <is>
          <t>Must</t>
        </is>
      </c>
      <c r="H56" s="15" t="n">
        <v>8</v>
      </c>
      <c r="I56" s="16" t="inlineStr">
        <is>
          <t>MVP</t>
        </is>
      </c>
      <c r="J56" s="7" t="inlineStr">
        <is>
          <t>Mobile</t>
        </is>
      </c>
      <c r="K56" s="7" t="inlineStr">
        <is>
          <t>US-086</t>
        </is>
      </c>
      <c r="L56" s="9" t="inlineStr">
        <is>
          <t>To Do</t>
        </is>
      </c>
      <c r="M56" s="9" t="inlineStr"/>
    </row>
    <row r="57">
      <c r="A57" s="10" t="inlineStr">
        <is>
          <t>US-062</t>
        </is>
      </c>
      <c r="B57" s="10" t="inlineStr">
        <is>
          <t>E06</t>
        </is>
      </c>
      <c r="C57" s="11" t="inlineStr">
        <is>
          <t>Expert Kundali Evaluation - Customer Flow</t>
        </is>
      </c>
      <c r="D57" s="11" t="inlineStr">
        <is>
          <t>One free follow-up question after delivery</t>
        </is>
      </c>
      <c r="E57" s="11" t="inlineStr">
        <is>
          <t>As a buyer I want to ask one clarifying question so that the EUR 11 feels well spent.</t>
        </is>
      </c>
      <c r="F57" s="11" t="inlineStr">
        <is>
          <t>1) One follow-up within 14 days of delivery. 2) Routed to the same astrologer. 3) Answered within 48h. 4) Threaded under the order.</t>
        </is>
      </c>
      <c r="G57" s="19" t="inlineStr">
        <is>
          <t>Should</t>
        </is>
      </c>
      <c r="H57" s="18" t="n">
        <v>8</v>
      </c>
      <c r="I57" s="16" t="inlineStr">
        <is>
          <t>MVP</t>
        </is>
      </c>
      <c r="J57" s="10" t="inlineStr">
        <is>
          <t>Product</t>
        </is>
      </c>
      <c r="K57" s="10" t="inlineStr">
        <is>
          <t>US-061</t>
        </is>
      </c>
      <c r="L57" s="9" t="inlineStr">
        <is>
          <t>To Do</t>
        </is>
      </c>
      <c r="M57" s="9" t="inlineStr"/>
    </row>
    <row r="58">
      <c r="A58" s="7" t="inlineStr">
        <is>
          <t>US-063</t>
        </is>
      </c>
      <c r="B58" s="7" t="inlineStr">
        <is>
          <t>E06</t>
        </is>
      </c>
      <c r="C58" s="8" t="inlineStr">
        <is>
          <t>Expert Kundali Evaluation - Customer Flow</t>
        </is>
      </c>
      <c r="D58" s="8" t="inlineStr">
        <is>
          <t>Rate and review the evaluation</t>
        </is>
      </c>
      <c r="E58" s="8" t="inlineStr">
        <is>
          <t>As a buyer I want to rate my report so that quality is tracked.</t>
        </is>
      </c>
      <c r="F58" s="8" t="inlineStr">
        <is>
          <t>1) One to five stars plus optional comment, prompted 24h after delivery. 2) Feeds the astrologer quality score. 3) Ratings of two or below auto-create a support ticket. 4) Moderated before any public display.</t>
        </is>
      </c>
      <c r="G58" s="20" t="inlineStr">
        <is>
          <t>Should</t>
        </is>
      </c>
      <c r="H58" s="15" t="n">
        <v>5</v>
      </c>
      <c r="I58" s="16" t="inlineStr">
        <is>
          <t>MVP</t>
        </is>
      </c>
      <c r="J58" s="7" t="inlineStr">
        <is>
          <t>Product</t>
        </is>
      </c>
      <c r="K58" s="7" t="inlineStr">
        <is>
          <t>US-061</t>
        </is>
      </c>
      <c r="L58" s="9" t="inlineStr">
        <is>
          <t>To Do</t>
        </is>
      </c>
      <c r="M58" s="9" t="inlineStr"/>
    </row>
    <row r="59">
      <c r="A59" s="10" t="inlineStr">
        <is>
          <t>US-064</t>
        </is>
      </c>
      <c r="B59" s="10" t="inlineStr">
        <is>
          <t>E06</t>
        </is>
      </c>
      <c r="C59" s="11" t="inlineStr">
        <is>
          <t>Expert Kundali Evaluation - Customer Flow</t>
        </is>
      </c>
      <c r="D59" s="11" t="inlineStr">
        <is>
          <t>Refund and quality-guarantee request</t>
        </is>
      </c>
      <c r="E59" s="11" t="inlineStr">
        <is>
          <t>As a dissatisfied buyer I want to request a refund so that I trust the purchase.</t>
        </is>
      </c>
      <c r="F59" s="11" t="inlineStr">
        <is>
          <t>1) In-app request within 14 days. 2) Policy: free rework first, refund if still unsatisfied. 3) Executed via Stripe with a credit note. 4) Decision within five working days.</t>
        </is>
      </c>
      <c r="G59" s="17" t="inlineStr">
        <is>
          <t>Must</t>
        </is>
      </c>
      <c r="H59" s="18" t="n">
        <v>8</v>
      </c>
      <c r="I59" s="16" t="inlineStr">
        <is>
          <t>MVP</t>
        </is>
      </c>
      <c r="J59" s="10" t="inlineStr">
        <is>
          <t>Payments</t>
        </is>
      </c>
      <c r="K59" s="10" t="inlineStr">
        <is>
          <t>US-078</t>
        </is>
      </c>
      <c r="L59" s="9" t="inlineStr">
        <is>
          <t>To Do</t>
        </is>
      </c>
      <c r="M59" s="9" t="inlineStr"/>
    </row>
    <row r="60">
      <c r="A60" s="7" t="inlineStr">
        <is>
          <t>US-065</t>
        </is>
      </c>
      <c r="B60" s="7" t="inlineStr">
        <is>
          <t>E06</t>
        </is>
      </c>
      <c r="C60" s="8" t="inlineStr">
        <is>
          <t>Expert Kundali Evaluation - Customer Flow</t>
        </is>
      </c>
      <c r="D60" s="8" t="inlineStr">
        <is>
          <t>Report language and depth options at checkout</t>
        </is>
      </c>
      <c r="E60" s="8" t="inlineStr">
        <is>
          <t>As a buyer I want to choose German or English so that I can read the report comfortably.</t>
        </is>
      </c>
      <c r="F60" s="8" t="inlineStr">
        <is>
          <t>1) Language selector defaulting to app language. 2) Routed to a matching astrologer. 3) Shown on the order. 4) Not changeable after assignment.</t>
        </is>
      </c>
      <c r="G60" s="14" t="inlineStr">
        <is>
          <t>Must</t>
        </is>
      </c>
      <c r="H60" s="15" t="n">
        <v>3</v>
      </c>
      <c r="I60" s="16" t="inlineStr">
        <is>
          <t>MVP</t>
        </is>
      </c>
      <c r="J60" s="7" t="inlineStr">
        <is>
          <t>Product</t>
        </is>
      </c>
      <c r="K60" s="7" t="inlineStr">
        <is>
          <t>US-058</t>
        </is>
      </c>
      <c r="L60" s="9" t="inlineStr">
        <is>
          <t>To Do</t>
        </is>
      </c>
      <c r="M60" s="9" t="inlineStr"/>
    </row>
    <row r="61">
      <c r="A61" s="10" t="inlineStr">
        <is>
          <t>US-066</t>
        </is>
      </c>
      <c r="B61" s="10" t="inlineStr">
        <is>
          <t>E07</t>
        </is>
      </c>
      <c r="C61" s="11" t="inlineStr">
        <is>
          <t>Astrologer Console (Expert Side)</t>
        </is>
      </c>
      <c r="D61" s="11" t="inlineStr">
        <is>
          <t>Astrologer onboarding, vetting and contracting</t>
        </is>
      </c>
      <c r="E61" s="11" t="inlineStr">
        <is>
          <t>As an operations lead I want a documented vetting flow so that only qualified astrologers deliver reports.</t>
        </is>
      </c>
      <c r="F61" s="11" t="inlineStr">
        <is>
          <t>1) Application, credential check, two paid sample evaluations scored by a reviewer. 2) Freelancer contract with confidentiality and a GDPR data-processing agreement (AVV). 3) Payout details collected. 4) Onboarding checklist tracked in admin.</t>
        </is>
      </c>
      <c r="G61" s="17" t="inlineStr">
        <is>
          <t>Must</t>
        </is>
      </c>
      <c r="H61" s="18" t="n">
        <v>8</v>
      </c>
      <c r="I61" s="16" t="inlineStr">
        <is>
          <t>MVP</t>
        </is>
      </c>
      <c r="J61" s="10" t="inlineStr">
        <is>
          <t>Ops</t>
        </is>
      </c>
      <c r="K61" s="10" t="inlineStr">
        <is>
          <t>US-012</t>
        </is>
      </c>
      <c r="L61" s="9" t="inlineStr">
        <is>
          <t>To Do</t>
        </is>
      </c>
      <c r="M61" s="9" t="inlineStr"/>
    </row>
    <row r="62">
      <c r="A62" s="7" t="inlineStr">
        <is>
          <t>US-067</t>
        </is>
      </c>
      <c r="B62" s="7" t="inlineStr">
        <is>
          <t>E07</t>
        </is>
      </c>
      <c r="C62" s="8" t="inlineStr">
        <is>
          <t>Astrologer Console (Expert Side)</t>
        </is>
      </c>
      <c r="D62" s="8" t="inlineStr">
        <is>
          <t>Astrologer console - queue and claim</t>
        </is>
      </c>
      <c r="E62" s="8" t="inlineStr">
        <is>
          <t>As an astrologer I want to see and claim available orders so that I can manage my workload.</t>
        </is>
      </c>
      <c r="F62" s="8" t="inlineStr">
        <is>
          <t>1) Queue filtered by language, specialisation and capacity. 2) Claim locks the order for four hours. 3) Shows deadline and payout. 4) Auto-release if not started.</t>
        </is>
      </c>
      <c r="G62" s="14" t="inlineStr">
        <is>
          <t>Must</t>
        </is>
      </c>
      <c r="H62" s="15" t="n">
        <v>8</v>
      </c>
      <c r="I62" s="16" t="inlineStr">
        <is>
          <t>MVP</t>
        </is>
      </c>
      <c r="J62" s="7" t="inlineStr">
        <is>
          <t>Web</t>
        </is>
      </c>
      <c r="K62" s="7" t="inlineStr">
        <is>
          <t>US-060</t>
        </is>
      </c>
      <c r="L62" s="9" t="inlineStr">
        <is>
          <t>To Do</t>
        </is>
      </c>
      <c r="M62" s="9" t="inlineStr"/>
    </row>
    <row r="63">
      <c r="A63" s="10" t="inlineStr">
        <is>
          <t>US-068</t>
        </is>
      </c>
      <c r="B63" s="10" t="inlineStr">
        <is>
          <t>E07</t>
        </is>
      </c>
      <c r="C63" s="11" t="inlineStr">
        <is>
          <t>Astrologer Console (Expert Side)</t>
        </is>
      </c>
      <c r="D63" s="11" t="inlineStr">
        <is>
          <t>Chart workbench for the astrologer</t>
        </is>
      </c>
      <c r="E63" s="11" t="inlineStr">
        <is>
          <t>As an astrologer I want all computed data on one screen so that I can analyse efficiently.</t>
        </is>
      </c>
      <c r="F63" s="11" t="inlineStr">
        <is>
          <t>1) D1, D9, D10, other divisionals, dashas, yogas, transits and panchang in one view, rendered from the uploaded snapshot or recomputed in-browser via WASM. 2) Client questions and selected industry pinned. 3) Private notes field. 4) Loads in under three seconds.</t>
        </is>
      </c>
      <c r="G63" s="17" t="inlineStr">
        <is>
          <t>Must</t>
        </is>
      </c>
      <c r="H63" s="18" t="n">
        <v>13</v>
      </c>
      <c r="I63" s="16" t="inlineStr">
        <is>
          <t>MVP</t>
        </is>
      </c>
      <c r="J63" s="10" t="inlineStr">
        <is>
          <t>Web</t>
        </is>
      </c>
      <c r="K63" s="10" t="inlineStr">
        <is>
          <t>US-032</t>
        </is>
      </c>
      <c r="L63" s="9" t="inlineStr">
        <is>
          <t>To Do</t>
        </is>
      </c>
      <c r="M63" s="9" t="inlineStr"/>
    </row>
    <row r="64">
      <c r="A64" s="7" t="inlineStr">
        <is>
          <t>US-069</t>
        </is>
      </c>
      <c r="B64" s="7" t="inlineStr">
        <is>
          <t>E07</t>
        </is>
      </c>
      <c r="C64" s="8" t="inlineStr">
        <is>
          <t>Astrologer Console (Expert Side)</t>
        </is>
      </c>
      <c r="D64" s="8" t="inlineStr">
        <is>
          <t>Report authoring with structured template</t>
        </is>
      </c>
      <c r="E64" s="8" t="inlineStr">
        <is>
          <t>As an astrologer I want a guided template so that every report has consistent quality.</t>
        </is>
      </c>
      <c r="F64" s="8" t="inlineStr">
        <is>
          <t>1) Fixed sections: Overview, Personality, Career, Relationships, Health, Finance, Dasha outlook, Answers to your questions, Remedies. 2) Minimum word counts enforced. 3) Rich text with chart image embedding. 4) Autosave every 30 seconds.</t>
        </is>
      </c>
      <c r="G64" s="14" t="inlineStr">
        <is>
          <t>Must</t>
        </is>
      </c>
      <c r="H64" s="15" t="n">
        <v>13</v>
      </c>
      <c r="I64" s="16" t="inlineStr">
        <is>
          <t>MVP</t>
        </is>
      </c>
      <c r="J64" s="7" t="inlineStr">
        <is>
          <t>Web</t>
        </is>
      </c>
      <c r="K64" s="7" t="inlineStr">
        <is>
          <t>US-068</t>
        </is>
      </c>
      <c r="L64" s="9" t="inlineStr">
        <is>
          <t>To Do</t>
        </is>
      </c>
      <c r="M64" s="9" t="inlineStr"/>
    </row>
    <row r="65">
      <c r="A65" s="10" t="inlineStr">
        <is>
          <t>US-070</t>
        </is>
      </c>
      <c r="B65" s="10" t="inlineStr">
        <is>
          <t>E07</t>
        </is>
      </c>
      <c r="C65" s="11" t="inlineStr">
        <is>
          <t>Astrologer Console (Expert Side)</t>
        </is>
      </c>
      <c r="D65" s="11" t="inlineStr">
        <is>
          <t>AI drafting assistant for astrologers</t>
        </is>
      </c>
      <c r="E65" s="11" t="inlineStr">
        <is>
          <t>As an astrologer I want a first draft from the computed chart so that I spend my time on judgement, not typing.</t>
        </is>
      </c>
      <c r="F65" s="11" t="inlineStr">
        <is>
          <t>1) LLM drafts each section from structured chart facts only - no invented positions. 2) The astrologer must edit and explicitly approve; a draft can never auto-publish. 3) Prompt and model version logged per report. 4) EU-hosted or DPA-covered endpoint.</t>
        </is>
      </c>
      <c r="G65" s="19" t="inlineStr">
        <is>
          <t>Should</t>
        </is>
      </c>
      <c r="H65" s="18" t="n">
        <v>13</v>
      </c>
      <c r="I65" s="16" t="inlineStr">
        <is>
          <t>MVP</t>
        </is>
      </c>
      <c r="J65" s="10" t="inlineStr">
        <is>
          <t>AI</t>
        </is>
      </c>
      <c r="K65" s="10" t="inlineStr">
        <is>
          <t>US-069</t>
        </is>
      </c>
      <c r="L65" s="9" t="inlineStr">
        <is>
          <t>To Do</t>
        </is>
      </c>
      <c r="M65" s="9" t="inlineStr"/>
    </row>
    <row r="66">
      <c r="A66" s="7" t="inlineStr">
        <is>
          <t>US-071</t>
        </is>
      </c>
      <c r="B66" s="7" t="inlineStr">
        <is>
          <t>E07</t>
        </is>
      </c>
      <c r="C66" s="8" t="inlineStr">
        <is>
          <t>Astrologer Console (Expert Side)</t>
        </is>
      </c>
      <c r="D66" s="8" t="inlineStr">
        <is>
          <t>Four-eyes QA review before delivery</t>
        </is>
      </c>
      <c r="E66" s="8" t="inlineStr">
        <is>
          <t>As a quality lead I want a second reviewer on early reports so that ratings are protected from day one.</t>
        </is>
      </c>
      <c r="F66" s="8" t="inlineStr">
        <is>
          <t>1) Reports from astrologers with fewer than 20 deliveries go to a reviewer. 2) Reviewer can approve, request changes or reject. 3) Threaded review comments. 4) Bypass rule behind a feature flag.</t>
        </is>
      </c>
      <c r="G66" s="14" t="inlineStr">
        <is>
          <t>Must</t>
        </is>
      </c>
      <c r="H66" s="15" t="n">
        <v>8</v>
      </c>
      <c r="I66" s="16" t="inlineStr">
        <is>
          <t>MVP</t>
        </is>
      </c>
      <c r="J66" s="7" t="inlineStr">
        <is>
          <t>Web</t>
        </is>
      </c>
      <c r="K66" s="7" t="inlineStr">
        <is>
          <t>US-069</t>
        </is>
      </c>
      <c r="L66" s="9" t="inlineStr">
        <is>
          <t>To Do</t>
        </is>
      </c>
      <c r="M66" s="9" t="inlineStr"/>
    </row>
    <row r="67">
      <c r="A67" s="10" t="inlineStr">
        <is>
          <t>US-072</t>
        </is>
      </c>
      <c r="B67" s="10" t="inlineStr">
        <is>
          <t>E07</t>
        </is>
      </c>
      <c r="C67" s="11" t="inlineStr">
        <is>
          <t>Astrologer Console (Expert Side)</t>
        </is>
      </c>
      <c r="D67" s="11" t="inlineStr">
        <is>
          <t>SLA tracking and escalation</t>
        </is>
      </c>
      <c r="E67" s="11" t="inlineStr">
        <is>
          <t>As an operations lead I want automatic escalation so that the 72h promise is kept.</t>
        </is>
      </c>
      <c r="F67" s="11" t="inlineStr">
        <is>
          <t>1) Warnings at 48h, 60h and 70h. 2) Auto-reassignment at 66h if not in review. 3) Ops dashboard of at-risk orders. 4) Customer informed proactively with goodwill credit if breached.</t>
        </is>
      </c>
      <c r="G67" s="17" t="inlineStr">
        <is>
          <t>Must</t>
        </is>
      </c>
      <c r="H67" s="18" t="n">
        <v>8</v>
      </c>
      <c r="I67" s="16" t="inlineStr">
        <is>
          <t>MVP</t>
        </is>
      </c>
      <c r="J67" s="10" t="inlineStr">
        <is>
          <t>Backend</t>
        </is>
      </c>
      <c r="K67" s="10" t="inlineStr">
        <is>
          <t>US-067</t>
        </is>
      </c>
      <c r="L67" s="9" t="inlineStr">
        <is>
          <t>To Do</t>
        </is>
      </c>
      <c r="M67" s="9" t="inlineStr"/>
    </row>
    <row r="68">
      <c r="A68" s="7" t="inlineStr">
        <is>
          <t>US-073</t>
        </is>
      </c>
      <c r="B68" s="7" t="inlineStr">
        <is>
          <t>E07</t>
        </is>
      </c>
      <c r="C68" s="8" t="inlineStr">
        <is>
          <t>Astrologer Console (Expert Side)</t>
        </is>
      </c>
      <c r="D68" s="8" t="inlineStr">
        <is>
          <t>Astrologer payouts and statements</t>
        </is>
      </c>
      <c r="E68" s="8" t="inlineStr">
        <is>
          <t>As an astrologer I want transparent, timely payment so that I keep working with the platform.</t>
        </is>
      </c>
      <c r="F68" s="8" t="inlineStr">
        <is>
          <t>1) Per-report fee configurable. 2) Semi-monthly payout via Stripe Connect or SEPA. 3) Downloadable statement per period. 4) Reverse-charge and non-EU tax handling documented.</t>
        </is>
      </c>
      <c r="G68" s="14" t="inlineStr">
        <is>
          <t>Must</t>
        </is>
      </c>
      <c r="H68" s="15" t="n">
        <v>8</v>
      </c>
      <c r="I68" s="16" t="inlineStr">
        <is>
          <t>MVP</t>
        </is>
      </c>
      <c r="J68" s="7" t="inlineStr">
        <is>
          <t>Payments</t>
        </is>
      </c>
      <c r="K68" s="7" t="inlineStr">
        <is>
          <t>US-075</t>
        </is>
      </c>
      <c r="L68" s="9" t="inlineStr">
        <is>
          <t>To Do</t>
        </is>
      </c>
      <c r="M68" s="9" t="inlineStr"/>
    </row>
    <row r="69">
      <c r="A69" s="10" t="inlineStr">
        <is>
          <t>US-074</t>
        </is>
      </c>
      <c r="B69" s="10" t="inlineStr">
        <is>
          <t>E07</t>
        </is>
      </c>
      <c r="C69" s="11" t="inlineStr">
        <is>
          <t>Astrologer Console (Expert Side)</t>
        </is>
      </c>
      <c r="D69" s="11" t="inlineStr">
        <is>
          <t>Astrologer capacity and availability settings</t>
        </is>
      </c>
      <c r="E69" s="11" t="inlineStr">
        <is>
          <t>As an astrologer I want to set my capacity so that I am not over-assigned.</t>
        </is>
      </c>
      <c r="F69" s="11" t="inlineStr">
        <is>
          <t>1) Maximum concurrent orders and weekly cap. 2) Away mode. 3) Routing respects capacity. 4) Ops can override.</t>
        </is>
      </c>
      <c r="G69" s="19" t="inlineStr">
        <is>
          <t>Should</t>
        </is>
      </c>
      <c r="H69" s="18" t="n">
        <v>5</v>
      </c>
      <c r="I69" s="16" t="inlineStr">
        <is>
          <t>MVP</t>
        </is>
      </c>
      <c r="J69" s="10" t="inlineStr">
        <is>
          <t>Web</t>
        </is>
      </c>
      <c r="K69" s="10" t="inlineStr">
        <is>
          <t>US-067</t>
        </is>
      </c>
      <c r="L69" s="9" t="inlineStr">
        <is>
          <t>To Do</t>
        </is>
      </c>
      <c r="M69" s="9" t="inlineStr"/>
    </row>
    <row r="70">
      <c r="A70" s="7" t="inlineStr">
        <is>
          <t>US-075</t>
        </is>
      </c>
      <c r="B70" s="7" t="inlineStr">
        <is>
          <t>E08</t>
        </is>
      </c>
      <c r="C70" s="8" t="inlineStr">
        <is>
          <t>Payments, Billing &amp; German Tax</t>
        </is>
      </c>
      <c r="D70" s="8" t="inlineStr">
        <is>
          <t>Stripe account, EU entity and payment methods</t>
        </is>
      </c>
      <c r="E70" s="8" t="inlineStr">
        <is>
          <t>As a finance owner I want Stripe configured for Germany so that conversion is maximised.</t>
        </is>
      </c>
      <c r="F70" s="8" t="inlineStr">
        <is>
          <t>1) Stripe account under an EU/DE legal entity. 2) SEPA, Klarna, PayPal, cards, Apple Pay and Google Pay enabled. 3) EUR settlement. 4) Radar rules tuned for low-value digital goods.</t>
        </is>
      </c>
      <c r="G70" s="14" t="inlineStr">
        <is>
          <t>Must</t>
        </is>
      </c>
      <c r="H70" s="15" t="n">
        <v>8</v>
      </c>
      <c r="I70" s="16" t="inlineStr">
        <is>
          <t>MVP</t>
        </is>
      </c>
      <c r="J70" s="7" t="inlineStr">
        <is>
          <t>Payments</t>
        </is>
      </c>
      <c r="K70" s="7" t="inlineStr">
        <is>
          <t>US-003</t>
        </is>
      </c>
      <c r="L70" s="9" t="inlineStr">
        <is>
          <t>To Do</t>
        </is>
      </c>
      <c r="M70" s="9" t="inlineStr"/>
    </row>
    <row r="71">
      <c r="A71" s="10" t="inlineStr">
        <is>
          <t>US-076</t>
        </is>
      </c>
      <c r="B71" s="10" t="inlineStr">
        <is>
          <t>E08</t>
        </is>
      </c>
      <c r="C71" s="11" t="inlineStr">
        <is>
          <t>Payments, Billing &amp; German Tax</t>
        </is>
      </c>
      <c r="D71" s="11" t="inlineStr">
        <is>
          <t>Webhook-driven order fulfilment</t>
        </is>
      </c>
      <c r="E71" s="11" t="inlineStr">
        <is>
          <t>As an engineer I want fulfilment driven by webhooks so that orders are never created without confirmed payment.</t>
        </is>
      </c>
      <c r="F71" s="11" t="inlineStr">
        <is>
          <t>1) Signature verification on all webhooks. 2) Idempotent handlers for payment_intent.succeeded and .failed, charge.refunded, charge.dispute.created. 3) Dead-letter queue with retry. 4) SEPA delayed settlement handled without blocking delivery.</t>
        </is>
      </c>
      <c r="G71" s="17" t="inlineStr">
        <is>
          <t>Must</t>
        </is>
      </c>
      <c r="H71" s="18" t="n">
        <v>13</v>
      </c>
      <c r="I71" s="16" t="inlineStr">
        <is>
          <t>MVP</t>
        </is>
      </c>
      <c r="J71" s="10" t="inlineStr">
        <is>
          <t>Payments</t>
        </is>
      </c>
      <c r="K71" s="10" t="inlineStr">
        <is>
          <t>US-075</t>
        </is>
      </c>
      <c r="L71" s="9" t="inlineStr">
        <is>
          <t>To Do</t>
        </is>
      </c>
      <c r="M71" s="9" t="inlineStr"/>
    </row>
    <row r="72">
      <c r="A72" s="7" t="inlineStr">
        <is>
          <t>US-077</t>
        </is>
      </c>
      <c r="B72" s="7" t="inlineStr">
        <is>
          <t>E08</t>
        </is>
      </c>
      <c r="C72" s="8" t="inlineStr">
        <is>
          <t>Payments, Billing &amp; German Tax</t>
        </is>
      </c>
      <c r="D72" s="8" t="inlineStr">
        <is>
          <t>German-compliant invoice generation</t>
        </is>
      </c>
      <c r="E72" s="8" t="inlineStr">
        <is>
          <t>As a buyer I want a proper invoice so that I can expense it and the business stays compliant.</t>
        </is>
      </c>
      <c r="F72" s="8" t="inlineStr">
        <is>
          <t>1) PDF invoice with seller details, USt-IdNr., gapless invoice number, date, service description, net, 19% VAT, gross. 2) Emailed on payment and downloadable in-app. 3) Archived 10 years per GoBD. 4) Credit note on refund.</t>
        </is>
      </c>
      <c r="G72" s="14" t="inlineStr">
        <is>
          <t>Must</t>
        </is>
      </c>
      <c r="H72" s="15" t="n">
        <v>8</v>
      </c>
      <c r="I72" s="16" t="inlineStr">
        <is>
          <t>MVP</t>
        </is>
      </c>
      <c r="J72" s="7" t="inlineStr">
        <is>
          <t>Payments</t>
        </is>
      </c>
      <c r="K72" s="7" t="inlineStr">
        <is>
          <t>US-076</t>
        </is>
      </c>
      <c r="L72" s="9" t="inlineStr">
        <is>
          <t>To Do</t>
        </is>
      </c>
      <c r="M72" s="9" t="inlineStr"/>
    </row>
    <row r="73">
      <c r="A73" s="10" t="inlineStr">
        <is>
          <t>US-078</t>
        </is>
      </c>
      <c r="B73" s="10" t="inlineStr">
        <is>
          <t>E08</t>
        </is>
      </c>
      <c r="C73" s="11" t="inlineStr">
        <is>
          <t>Payments, Billing &amp; German Tax</t>
        </is>
      </c>
      <c r="D73" s="11" t="inlineStr">
        <is>
          <t>Refunds, chargebacks and disputes</t>
        </is>
      </c>
      <c r="E73" s="11" t="inlineStr">
        <is>
          <t>As a support agent I want to issue refunds and respond to disputes so that money issues resolve cleanly.</t>
        </is>
      </c>
      <c r="F73" s="11" t="inlineStr">
        <is>
          <t>1) Partial and full refunds from admin with a reason code. 2) Automatic credit note. 3) Dispute evidence pack auto-assembled. 4) Refund rate tracked as a KPI.</t>
        </is>
      </c>
      <c r="G73" s="17" t="inlineStr">
        <is>
          <t>Must</t>
        </is>
      </c>
      <c r="H73" s="18" t="n">
        <v>8</v>
      </c>
      <c r="I73" s="16" t="inlineStr">
        <is>
          <t>MVP</t>
        </is>
      </c>
      <c r="J73" s="10" t="inlineStr">
        <is>
          <t>Payments</t>
        </is>
      </c>
      <c r="K73" s="10" t="inlineStr">
        <is>
          <t>US-077</t>
        </is>
      </c>
      <c r="L73" s="9" t="inlineStr">
        <is>
          <t>To Do</t>
        </is>
      </c>
      <c r="M73" s="9" t="inlineStr"/>
    </row>
    <row r="74">
      <c r="A74" s="7" t="inlineStr">
        <is>
          <t>US-079</t>
        </is>
      </c>
      <c r="B74" s="7" t="inlineStr">
        <is>
          <t>E08</t>
        </is>
      </c>
      <c r="C74" s="8" t="inlineStr">
        <is>
          <t>Payments, Billing &amp; German Tax</t>
        </is>
      </c>
      <c r="D74" s="8" t="inlineStr">
        <is>
          <t>VAT and OSS reporting</t>
        </is>
      </c>
      <c r="E74" s="8" t="inlineStr">
        <is>
          <t>As a finance owner I want correct VAT per country so that we can sell across the EU legally.</t>
        </is>
      </c>
      <c r="F74" s="8" t="inlineStr">
        <is>
          <t>1) 19% German VAT for DE customers. 2) Country determined by two non-contradictory pieces of evidence. 3) OSS-ready quarterly export per country. 4) Kleinunternehmer toggle for the under-threshold phase.</t>
        </is>
      </c>
      <c r="G74" s="14" t="inlineStr">
        <is>
          <t>Must</t>
        </is>
      </c>
      <c r="H74" s="15" t="n">
        <v>13</v>
      </c>
      <c r="I74" s="16" t="inlineStr">
        <is>
          <t>MVP</t>
        </is>
      </c>
      <c r="J74" s="7" t="inlineStr">
        <is>
          <t>Payments</t>
        </is>
      </c>
      <c r="K74" s="7" t="inlineStr">
        <is>
          <t>US-077</t>
        </is>
      </c>
      <c r="L74" s="9" t="inlineStr">
        <is>
          <t>To Do</t>
        </is>
      </c>
      <c r="M74" s="9" t="inlineStr"/>
    </row>
    <row r="75">
      <c r="A75" s="10" t="inlineStr">
        <is>
          <t>US-080</t>
        </is>
      </c>
      <c r="B75" s="10" t="inlineStr">
        <is>
          <t>E08</t>
        </is>
      </c>
      <c r="C75" s="11" t="inlineStr">
        <is>
          <t>Payments, Billing &amp; German Tax</t>
        </is>
      </c>
      <c r="D75" s="11" t="inlineStr">
        <is>
          <t>Promo codes and first-order discount</t>
        </is>
      </c>
      <c r="E75" s="11" t="inlineStr">
        <is>
          <t>As a growth manager I want promo codes so that I can run acquisition campaigns.</t>
        </is>
      </c>
      <c r="F75" s="11" t="inlineStr">
        <is>
          <t>1) Percentage and fixed-amount codes with expiry, usage cap and one-per-user. 2) Applied correctly before VAT calculation. 3) Redemption tracked per campaign. 4) Cannot drop below a viability floor.</t>
        </is>
      </c>
      <c r="G75" s="19" t="inlineStr">
        <is>
          <t>Should</t>
        </is>
      </c>
      <c r="H75" s="18" t="n">
        <v>5</v>
      </c>
      <c r="I75" s="9" t="inlineStr">
        <is>
          <t>R1.1</t>
        </is>
      </c>
      <c r="J75" s="10" t="inlineStr">
        <is>
          <t>Payments</t>
        </is>
      </c>
      <c r="K75" s="10" t="inlineStr">
        <is>
          <t>US-076</t>
        </is>
      </c>
      <c r="L75" s="9" t="inlineStr">
        <is>
          <t>To Do</t>
        </is>
      </c>
      <c r="M75" s="9" t="inlineStr"/>
    </row>
    <row r="76">
      <c r="A76" s="7" t="inlineStr">
        <is>
          <t>US-081</t>
        </is>
      </c>
      <c r="B76" s="7" t="inlineStr">
        <is>
          <t>E08</t>
        </is>
      </c>
      <c r="C76" s="8" t="inlineStr">
        <is>
          <t>Payments, Billing &amp; German Tax</t>
        </is>
      </c>
      <c r="D76" s="8" t="inlineStr">
        <is>
          <t>Payment reconciliation report</t>
        </is>
      </c>
      <c r="E76" s="8" t="inlineStr">
        <is>
          <t>As a finance owner I want daily reconciliation so that Stripe payouts match our order ledger.</t>
        </is>
      </c>
      <c r="F76" s="8" t="inlineStr">
        <is>
          <t>1) Daily job comparing orders, balance transactions and payouts. 2) Discrepancies flagged. 3) DATEV-compatible export. 4) Retained 10 years.</t>
        </is>
      </c>
      <c r="G76" s="20" t="inlineStr">
        <is>
          <t>Should</t>
        </is>
      </c>
      <c r="H76" s="15" t="n">
        <v>8</v>
      </c>
      <c r="I76" s="16" t="inlineStr">
        <is>
          <t>MVP</t>
        </is>
      </c>
      <c r="J76" s="7" t="inlineStr">
        <is>
          <t>Payments</t>
        </is>
      </c>
      <c r="K76" s="7" t="inlineStr">
        <is>
          <t>US-077</t>
        </is>
      </c>
      <c r="L76" s="9" t="inlineStr">
        <is>
          <t>To Do</t>
        </is>
      </c>
      <c r="M76" s="9" t="inlineStr"/>
    </row>
    <row r="77">
      <c r="A77" s="10" t="inlineStr">
        <is>
          <t>US-085</t>
        </is>
      </c>
      <c r="B77" s="10" t="inlineStr">
        <is>
          <t>E09</t>
        </is>
      </c>
      <c r="C77" s="11" t="inlineStr">
        <is>
          <t>Localization &amp; German Content</t>
        </is>
      </c>
      <c r="D77" s="11" t="inlineStr">
        <is>
          <t>Internationalisation framework (de-DE, en-GB)</t>
        </is>
      </c>
      <c r="E77" s="11" t="inlineStr">
        <is>
          <t>As a developer I want all strings externalised so that the app ships in German and English.</t>
        </is>
      </c>
      <c r="F77" s="11" t="inlineStr">
        <is>
          <t>1) No hardcoded strings; ICU format with plurals. 2) German date DD.MM.YYYY, 24-hour time, comma decimals, EUR 11,00 formatting. 3) Device locale with in-app override. 4) Pseudo-localisation test for overflow - German runs about 30% longer. VERIFIED (2026-08-02): de-DE template + en-GB translation, ICU plurals, in-app override persisted via shared_preferences, pseudo-localisation at 1.3x/2x/3x string length (which caught a real AppKeyValueRow overflow). NOT DONE: US-089 translation-management workflow — ARB files are edited by hand and there is no CI check that a new key reaches the translator.</t>
        </is>
      </c>
      <c r="G77" s="17" t="inlineStr">
        <is>
          <t>Must</t>
        </is>
      </c>
      <c r="H77" s="18" t="n">
        <v>8</v>
      </c>
      <c r="I77" s="16" t="inlineStr">
        <is>
          <t>MVP</t>
        </is>
      </c>
      <c r="J77" s="10" t="inlineStr">
        <is>
          <t>Mobile</t>
        </is>
      </c>
      <c r="K77" s="10" t="inlineStr">
        <is>
          <t>US-005</t>
        </is>
      </c>
      <c r="L77" s="9" t="inlineStr">
        <is>
          <t>Done</t>
        </is>
      </c>
      <c r="M77" s="9" t="inlineStr"/>
    </row>
    <row r="78">
      <c r="A78" s="7" t="inlineStr">
        <is>
          <t>US-086</t>
        </is>
      </c>
      <c r="B78" s="7" t="inlineStr">
        <is>
          <t>E09</t>
        </is>
      </c>
      <c r="C78" s="8" t="inlineStr">
        <is>
          <t>Localization &amp; German Content</t>
        </is>
      </c>
      <c r="D78" s="8" t="inlineStr">
        <is>
          <t>German report PDF template</t>
        </is>
      </c>
      <c r="E78" s="8" t="inlineStr">
        <is>
          <t>As a buyer I want a professionally typeset German report so that the EUR 11 feels well spent.</t>
        </is>
      </c>
      <c r="F78" s="8" t="inlineStr">
        <is>
          <t>1) Branded PDF, 10-15 pages, correct German typography. 2) Embedded chart graphics. 3) Tagged and accessible. 4) Generated server-side, deterministic, under 20 seconds.</t>
        </is>
      </c>
      <c r="G78" s="14" t="inlineStr">
        <is>
          <t>Must</t>
        </is>
      </c>
      <c r="H78" s="15" t="n">
        <v>13</v>
      </c>
      <c r="I78" s="16" t="inlineStr">
        <is>
          <t>MVP</t>
        </is>
      </c>
      <c r="J78" s="7" t="inlineStr">
        <is>
          <t>Backend</t>
        </is>
      </c>
      <c r="K78" s="7" t="inlineStr">
        <is>
          <t>US-069</t>
        </is>
      </c>
      <c r="L78" s="9" t="inlineStr">
        <is>
          <t>To Do</t>
        </is>
      </c>
      <c r="M78" s="9" t="inlineStr"/>
    </row>
    <row r="79">
      <c r="A79" s="10" t="inlineStr">
        <is>
          <t>US-087</t>
        </is>
      </c>
      <c r="B79" s="10" t="inlineStr">
        <is>
          <t>E09</t>
        </is>
      </c>
      <c r="C79" s="11" t="inlineStr">
        <is>
          <t>Localization &amp; German Content</t>
        </is>
      </c>
      <c r="D79" s="11" t="inlineStr">
        <is>
          <t>Cultural adaptation of Vedic terminology</t>
        </is>
      </c>
      <c r="E79" s="11" t="inlineStr">
        <is>
          <t>As a German user I want concepts explained in my own frame so that the content is understandable.</t>
        </is>
      </c>
      <c r="F79" s="11" t="inlineStr">
        <is>
          <t>1) Every Sanskrit term paired with a German gloss on first use. 2) Indian-market idioms removed or explained. 3) Reviewed by a bilingual astrologer and a native German editor. 4) Written style guide.</t>
        </is>
      </c>
      <c r="G79" s="17" t="inlineStr">
        <is>
          <t>Must</t>
        </is>
      </c>
      <c r="H79" s="18" t="n">
        <v>8</v>
      </c>
      <c r="I79" s="16" t="inlineStr">
        <is>
          <t>MVP</t>
        </is>
      </c>
      <c r="J79" s="10" t="inlineStr">
        <is>
          <t>Content</t>
        </is>
      </c>
      <c r="K79" s="10" t="inlineStr">
        <is>
          <t>US-049</t>
        </is>
      </c>
      <c r="L79" s="9" t="inlineStr">
        <is>
          <t>To Do</t>
        </is>
      </c>
      <c r="M79" s="9" t="inlineStr"/>
    </row>
    <row r="80">
      <c r="A80" s="7" t="inlineStr">
        <is>
          <t>US-088</t>
        </is>
      </c>
      <c r="B80" s="7" t="inlineStr">
        <is>
          <t>E09</t>
        </is>
      </c>
      <c r="C80" s="8" t="inlineStr">
        <is>
          <t>Localization &amp; German Content</t>
        </is>
      </c>
      <c r="D80" s="8" t="inlineStr">
        <is>
          <t>German legal copy (AGB, Datenschutz, Impressum, Widerruf)</t>
        </is>
      </c>
      <c r="E80" s="8" t="inlineStr">
        <is>
          <t>As a compliance owner I want German legal texts so that we meet DDG and BGB requirements.</t>
        </is>
      </c>
      <c r="F80" s="8" t="inlineStr">
        <is>
          <t>1) Impressum per DDG section 5. 2) AGB, Datenschutzerklaerung, Widerrufsbelehrung and the model withdrawal form. 3) Reachable within two taps. 4) Drafted or reviewed by a German lawyer.</t>
        </is>
      </c>
      <c r="G80" s="14" t="inlineStr">
        <is>
          <t>Must</t>
        </is>
      </c>
      <c r="H80" s="15" t="n">
        <v>8</v>
      </c>
      <c r="I80" s="16" t="inlineStr">
        <is>
          <t>MVP</t>
        </is>
      </c>
      <c r="J80" s="7" t="inlineStr">
        <is>
          <t>Legal</t>
        </is>
      </c>
      <c r="K80" s="7" t="inlineStr">
        <is>
          <t>US-095</t>
        </is>
      </c>
      <c r="L80" s="9" t="inlineStr">
        <is>
          <t>To Do</t>
        </is>
      </c>
      <c r="M80" s="9" t="inlineStr"/>
    </row>
    <row r="81">
      <c r="A81" s="10" t="inlineStr">
        <is>
          <t>US-089</t>
        </is>
      </c>
      <c r="B81" s="10" t="inlineStr">
        <is>
          <t>E09</t>
        </is>
      </c>
      <c r="C81" s="11" t="inlineStr">
        <is>
          <t>Localization &amp; German Content</t>
        </is>
      </c>
      <c r="D81" s="11" t="inlineStr">
        <is>
          <t>Translation management workflow</t>
        </is>
      </c>
      <c r="E81" s="11" t="inlineStr">
        <is>
          <t>As a content lead I want a TMS so that new strings do not block releases.</t>
        </is>
      </c>
      <c r="F81" s="11" t="inlineStr">
        <is>
          <t>1) Strings sync to a translation platform. 2) Untranslated keys fall back to English and are flagged in CI. 3) Glossary enforced for Vedic and career terminology. 4) Three working day turnaround.</t>
        </is>
      </c>
      <c r="G81" s="19" t="inlineStr">
        <is>
          <t>Should</t>
        </is>
      </c>
      <c r="H81" s="18" t="n">
        <v>5</v>
      </c>
      <c r="I81" s="16" t="inlineStr">
        <is>
          <t>MVP</t>
        </is>
      </c>
      <c r="J81" s="10" t="inlineStr">
        <is>
          <t>Content</t>
        </is>
      </c>
      <c r="K81" s="10" t="inlineStr">
        <is>
          <t>US-085</t>
        </is>
      </c>
      <c r="L81" s="9" t="inlineStr">
        <is>
          <t>To Do</t>
        </is>
      </c>
      <c r="M81" s="9" t="inlineStr"/>
    </row>
    <row r="82">
      <c r="A82" s="7" t="inlineStr">
        <is>
          <t>US-090</t>
        </is>
      </c>
      <c r="B82" s="7" t="inlineStr">
        <is>
          <t>E10</t>
        </is>
      </c>
      <c r="C82" s="8" t="inlineStr">
        <is>
          <t>Notifications &amp; Engagement</t>
        </is>
      </c>
      <c r="D82" s="8" t="inlineStr">
        <is>
          <t>Push notification infrastructure and consent</t>
        </is>
      </c>
      <c r="E82" s="8" t="inlineStr">
        <is>
          <t>As a user I want to opt in to notifications so that I control what I receive.</t>
        </is>
      </c>
      <c r="F82" s="8" t="inlineStr">
        <is>
          <t>1) FCM and APNs integrated. 2) Permission requested only after the first value moment. 3) Granular categories: order updates, daily panchang, offers. 4) Preferences honoured server-side.</t>
        </is>
      </c>
      <c r="G82" s="14" t="inlineStr">
        <is>
          <t>Must</t>
        </is>
      </c>
      <c r="H82" s="15" t="n">
        <v>8</v>
      </c>
      <c r="I82" s="16" t="inlineStr">
        <is>
          <t>MVP</t>
        </is>
      </c>
      <c r="J82" s="7" t="inlineStr">
        <is>
          <t>Mobile</t>
        </is>
      </c>
      <c r="K82" s="7" t="inlineStr">
        <is>
          <t>US-005</t>
        </is>
      </c>
      <c r="L82" s="9" t="inlineStr">
        <is>
          <t>To Do</t>
        </is>
      </c>
      <c r="M82" s="9" t="inlineStr"/>
    </row>
    <row r="83">
      <c r="A83" s="10" t="inlineStr">
        <is>
          <t>US-091</t>
        </is>
      </c>
      <c r="B83" s="10" t="inlineStr">
        <is>
          <t>E10</t>
        </is>
      </c>
      <c r="C83" s="11" t="inlineStr">
        <is>
          <t>Notifications &amp; Engagement</t>
        </is>
      </c>
      <c r="D83" s="11" t="inlineStr">
        <is>
          <t>Transactional email service</t>
        </is>
      </c>
      <c r="E83" s="11" t="inlineStr">
        <is>
          <t>As a user I want email confirmations so that I have a record outside the app.</t>
        </is>
      </c>
      <c r="F83" s="11" t="inlineStr">
        <is>
          <t>1) Templates for verification, order confirmation with invoice, status change, report ready and refund. 2) German and English. 3) SPF, DKIM and DMARC configured. 4) Marketing mail requires double opt-in.</t>
        </is>
      </c>
      <c r="G83" s="17" t="inlineStr">
        <is>
          <t>Must</t>
        </is>
      </c>
      <c r="H83" s="18" t="n">
        <v>8</v>
      </c>
      <c r="I83" s="16" t="inlineStr">
        <is>
          <t>MVP</t>
        </is>
      </c>
      <c r="J83" s="10" t="inlineStr">
        <is>
          <t>Backend</t>
        </is>
      </c>
      <c r="K83" s="10" t="inlineStr">
        <is>
          <t>US-077</t>
        </is>
      </c>
      <c r="L83" s="9" t="inlineStr">
        <is>
          <t>To Do</t>
        </is>
      </c>
      <c r="M83" s="9" t="inlineStr"/>
    </row>
    <row r="84">
      <c r="A84" s="7" t="inlineStr">
        <is>
          <t>US-092</t>
        </is>
      </c>
      <c r="B84" s="7" t="inlineStr">
        <is>
          <t>E10</t>
        </is>
      </c>
      <c r="C84" s="8" t="inlineStr">
        <is>
          <t>Notifications &amp; Engagement</t>
        </is>
      </c>
      <c r="D84" s="8" t="inlineStr">
        <is>
          <t>Daily panchang and transit notification</t>
        </is>
      </c>
      <c r="E84" s="8" t="inlineStr">
        <is>
          <t>As a user I want a short daily insight so that I have a reason to return.</t>
        </is>
      </c>
      <c r="F84" s="8" t="inlineStr">
        <is>
          <t>1) One push per day at a user-chosen time. 2) Personalised to the chart, not generic. 3) Deep links to the relevant screen. 4) Auto-mute after seven ignores.</t>
        </is>
      </c>
      <c r="G84" s="20" t="inlineStr">
        <is>
          <t>Should</t>
        </is>
      </c>
      <c r="H84" s="15" t="n">
        <v>5</v>
      </c>
      <c r="I84" s="16" t="inlineStr">
        <is>
          <t>MVP</t>
        </is>
      </c>
      <c r="J84" s="7" t="inlineStr">
        <is>
          <t>Mobile</t>
        </is>
      </c>
      <c r="K84" s="7" t="inlineStr">
        <is>
          <t>US-038</t>
        </is>
      </c>
      <c r="L84" s="9" t="inlineStr">
        <is>
          <t>To Do</t>
        </is>
      </c>
      <c r="M84" s="9" t="inlineStr"/>
    </row>
    <row r="85">
      <c r="A85" s="10" t="inlineStr">
        <is>
          <t>US-093</t>
        </is>
      </c>
      <c r="B85" s="10" t="inlineStr">
        <is>
          <t>E10</t>
        </is>
      </c>
      <c r="C85" s="11" t="inlineStr">
        <is>
          <t>Notifications &amp; Engagement</t>
        </is>
      </c>
      <c r="D85" s="11" t="inlineStr">
        <is>
          <t>Lifecycle and win-back campaigns</t>
        </is>
      </c>
      <c r="E85" s="11" t="inlineStr">
        <is>
          <t>As a growth manager I want lifecycle messaging so that free users convert.</t>
        </is>
      </c>
      <c r="F85" s="11" t="inlineStr">
        <is>
          <t>1) Triggers: career analysis viewed but no purchase after three days; abandoned checkout; 30 days post-report. 2) Double opt-in per GDPR and UWG. 3) One-click unsubscribe. 4) Holdout group for measurement.</t>
        </is>
      </c>
      <c r="G85" s="19" t="inlineStr">
        <is>
          <t>Should</t>
        </is>
      </c>
      <c r="H85" s="18" t="n">
        <v>8</v>
      </c>
      <c r="I85" s="9" t="inlineStr">
        <is>
          <t>R1.1</t>
        </is>
      </c>
      <c r="J85" s="10" t="inlineStr">
        <is>
          <t>Growth</t>
        </is>
      </c>
      <c r="K85" s="10" t="inlineStr">
        <is>
          <t>US-091</t>
        </is>
      </c>
      <c r="L85" s="9" t="inlineStr">
        <is>
          <t>To Do</t>
        </is>
      </c>
      <c r="M85" s="9" t="inlineStr"/>
    </row>
    <row r="86">
      <c r="A86" s="7" t="inlineStr">
        <is>
          <t>US-095</t>
        </is>
      </c>
      <c r="B86" s="7" t="inlineStr">
        <is>
          <t>E11</t>
        </is>
      </c>
      <c r="C86" s="8" t="inlineStr">
        <is>
          <t>GDPR, Privacy &amp; Legal Compliance</t>
        </is>
      </c>
      <c r="D86" s="8" t="inlineStr">
        <is>
          <t>Consent management platform</t>
        </is>
      </c>
      <c r="E86" s="8" t="inlineStr">
        <is>
          <t>As a user I want granular consent so that my data is only used as I allow.</t>
        </is>
      </c>
      <c r="F86" s="8" t="inlineStr">
        <is>
          <t>1) TTDSG and GDPR compliant CMP on first launch; reject-all as prominent as accept-all. 2) Separate toggles for analytics, crash reporting and marketing. 3) No non-essential SDK fires before consent. 4) Consent versioned, timestamped and revocable.</t>
        </is>
      </c>
      <c r="G86" s="14" t="inlineStr">
        <is>
          <t>Must</t>
        </is>
      </c>
      <c r="H86" s="15" t="n">
        <v>8</v>
      </c>
      <c r="I86" s="16" t="inlineStr">
        <is>
          <t>MVP</t>
        </is>
      </c>
      <c r="J86" s="7" t="inlineStr">
        <is>
          <t>Legal</t>
        </is>
      </c>
      <c r="K86" s="7" t="inlineStr">
        <is>
          <t>US-005</t>
        </is>
      </c>
      <c r="L86" s="9" t="inlineStr">
        <is>
          <t>To Do</t>
        </is>
      </c>
      <c r="M86" s="9" t="inlineStr"/>
    </row>
    <row r="87">
      <c r="A87" s="10" t="inlineStr">
        <is>
          <t>US-096</t>
        </is>
      </c>
      <c r="B87" s="10" t="inlineStr">
        <is>
          <t>E11</t>
        </is>
      </c>
      <c r="C87" s="11" t="inlineStr">
        <is>
          <t>GDPR, Privacy &amp; Legal Compliance</t>
        </is>
      </c>
      <c r="D87" s="11" t="inlineStr">
        <is>
          <t>Data subject request automation</t>
        </is>
      </c>
      <c r="E87" s="11" t="inlineStr">
        <is>
          <t>As a user I want to exercise my GDPR rights so that I stay in control of my data.</t>
        </is>
      </c>
      <c r="F87" s="11" t="inlineStr">
        <is>
          <t>1) In-app export (machine-readable) and erasure requests. 2) Fulfilled within 30 days, automated where possible. 3) Identity verification first. 4) Request log for the supervisory authority.</t>
        </is>
      </c>
      <c r="G87" s="17" t="inlineStr">
        <is>
          <t>Must</t>
        </is>
      </c>
      <c r="H87" s="18" t="n">
        <v>13</v>
      </c>
      <c r="I87" s="16" t="inlineStr">
        <is>
          <t>MVP</t>
        </is>
      </c>
      <c r="J87" s="10" t="inlineStr">
        <is>
          <t>Backend</t>
        </is>
      </c>
      <c r="K87" s="10" t="inlineStr">
        <is>
          <t>US-015</t>
        </is>
      </c>
      <c r="L87" s="9" t="inlineStr">
        <is>
          <t>To Do</t>
        </is>
      </c>
      <c r="M87" s="9" t="inlineStr"/>
    </row>
    <row r="88">
      <c r="A88" s="7" t="inlineStr">
        <is>
          <t>US-097</t>
        </is>
      </c>
      <c r="B88" s="7" t="inlineStr">
        <is>
          <t>E11</t>
        </is>
      </c>
      <c r="C88" s="8" t="inlineStr">
        <is>
          <t>GDPR, Privacy &amp; Legal Compliance</t>
        </is>
      </c>
      <c r="D88" s="8" t="inlineStr">
        <is>
          <t>Records of processing, DPIA and sub-processor register</t>
        </is>
      </c>
      <c r="E88" s="8" t="inlineStr">
        <is>
          <t>As a DPO I want documented processing so that we can demonstrate accountability.</t>
        </is>
      </c>
      <c r="F88" s="8" t="inlineStr">
        <is>
          <t>1) Article 30 record. 2) DPIA covering birth data, career profiling and health-adjacent questions. 3) DPA signed with every processor including the LLM vendor and every astrologer. 4) Reviewed annually.</t>
        </is>
      </c>
      <c r="G88" s="14" t="inlineStr">
        <is>
          <t>Must</t>
        </is>
      </c>
      <c r="H88" s="15" t="n">
        <v>8</v>
      </c>
      <c r="I88" s="16" t="inlineStr">
        <is>
          <t>MVP</t>
        </is>
      </c>
      <c r="J88" s="7" t="inlineStr">
        <is>
          <t>Legal</t>
        </is>
      </c>
      <c r="K88" s="7" t="inlineStr">
        <is>
          <t>US-003</t>
        </is>
      </c>
      <c r="L88" s="9" t="inlineStr">
        <is>
          <t>To Do</t>
        </is>
      </c>
      <c r="M88" s="9" t="inlineStr"/>
    </row>
    <row r="89">
      <c r="A89" s="10" t="inlineStr">
        <is>
          <t>US-098</t>
        </is>
      </c>
      <c r="B89" s="10" t="inlineStr">
        <is>
          <t>E11</t>
        </is>
      </c>
      <c r="C89" s="11" t="inlineStr">
        <is>
          <t>GDPR, Privacy &amp; Legal Compliance</t>
        </is>
      </c>
      <c r="D89" s="11" t="inlineStr">
        <is>
          <t>Entertainment framing and no-advice policy</t>
        </is>
      </c>
      <c r="E89" s="11" t="inlineStr">
        <is>
          <t>As a compliance owner I want clear disclaimers so that we meet store rules and avoid liability.</t>
        </is>
      </c>
      <c r="F89" s="11" t="inlineStr">
        <is>
          <t>1) 'For self-reflection and entertainment' at onboarding, on reports, on the career page and in store listings. 2) Astrologer style guide bans medical, legal, financial and pregnancy predictions. 3) Intake filter blocks such questions with a helpful redirect. 4) Age rating 12+ or higher.</t>
        </is>
      </c>
      <c r="G89" s="17" t="inlineStr">
        <is>
          <t>Must</t>
        </is>
      </c>
      <c r="H89" s="18" t="n">
        <v>5</v>
      </c>
      <c r="I89" s="16" t="inlineStr">
        <is>
          <t>MVP</t>
        </is>
      </c>
      <c r="J89" s="10" t="inlineStr">
        <is>
          <t>Legal</t>
        </is>
      </c>
      <c r="K89" s="10" t="inlineStr">
        <is>
          <t>US-057</t>
        </is>
      </c>
      <c r="L89" s="9" t="inlineStr">
        <is>
          <t>To Do</t>
        </is>
      </c>
      <c r="M89" s="9" t="inlineStr"/>
    </row>
    <row r="90">
      <c r="A90" s="7" t="inlineStr">
        <is>
          <t>US-099</t>
        </is>
      </c>
      <c r="B90" s="7" t="inlineStr">
        <is>
          <t>E11</t>
        </is>
      </c>
      <c r="C90" s="8" t="inlineStr">
        <is>
          <t>GDPR, Privacy &amp; Legal Compliance</t>
        </is>
      </c>
      <c r="D90" s="8" t="inlineStr">
        <is>
          <t>Right of withdrawal handling</t>
        </is>
      </c>
      <c r="E90" s="8" t="inlineStr">
        <is>
          <t>As a compliance owner I want correct Widerruf handling so that work can start immediately without legal risk.</t>
        </is>
      </c>
      <c r="F90" s="8" t="inlineStr">
        <is>
          <t>1) Buyer explicitly consents that work begins before the 14-day period ends and acknowledges losing the withdrawal right. 2) Timestamped at checkout and repeated in the confirmation email. 3) Correct Widerrufsbelehrung shown. 4) Without valid consent, work does not start.</t>
        </is>
      </c>
      <c r="G90" s="14" t="inlineStr">
        <is>
          <t>Must</t>
        </is>
      </c>
      <c r="H90" s="15" t="n">
        <v>8</v>
      </c>
      <c r="I90" s="16" t="inlineStr">
        <is>
          <t>MVP</t>
        </is>
      </c>
      <c r="J90" s="7" t="inlineStr">
        <is>
          <t>Legal</t>
        </is>
      </c>
      <c r="K90" s="7" t="inlineStr">
        <is>
          <t>US-058</t>
        </is>
      </c>
      <c r="L90" s="9" t="inlineStr">
        <is>
          <t>To Do</t>
        </is>
      </c>
      <c r="M90" s="9" t="inlineStr"/>
    </row>
    <row r="91">
      <c r="A91" s="10" t="inlineStr">
        <is>
          <t>US-100</t>
        </is>
      </c>
      <c r="B91" s="10" t="inlineStr">
        <is>
          <t>E11</t>
        </is>
      </c>
      <c r="C91" s="11" t="inlineStr">
        <is>
          <t>GDPR, Privacy &amp; Legal Compliance</t>
        </is>
      </c>
      <c r="D91" s="11" t="inlineStr">
        <is>
          <t>Data retention and deletion schedule</t>
        </is>
      </c>
      <c r="E91" s="11" t="inlineStr">
        <is>
          <t>As a DPO I want documented retention so that we do not keep data longer than lawful.</t>
        </is>
      </c>
      <c r="F91" s="11" t="inlineStr">
        <is>
          <t>1) Birth data deleted on account deletion; invoices retained 10 years. 2) Logs 90 days, analytics 14 months. 3) Automated purge with audit trail. 4) Backups honour deletion within one cycle.</t>
        </is>
      </c>
      <c r="G91" s="17" t="inlineStr">
        <is>
          <t>Must</t>
        </is>
      </c>
      <c r="H91" s="18" t="n">
        <v>8</v>
      </c>
      <c r="I91" s="16" t="inlineStr">
        <is>
          <t>MVP</t>
        </is>
      </c>
      <c r="J91" s="10" t="inlineStr">
        <is>
          <t>Backend</t>
        </is>
      </c>
      <c r="K91" s="10" t="inlineStr">
        <is>
          <t>US-096</t>
        </is>
      </c>
      <c r="L91" s="9" t="inlineStr">
        <is>
          <t>To Do</t>
        </is>
      </c>
      <c r="M91" s="9" t="inlineStr"/>
    </row>
    <row r="92">
      <c r="A92" s="7" t="inlineStr">
        <is>
          <t>US-101</t>
        </is>
      </c>
      <c r="B92" s="7" t="inlineStr">
        <is>
          <t>E11</t>
        </is>
      </c>
      <c r="C92" s="8" t="inlineStr">
        <is>
          <t>GDPR, Privacy &amp; Legal Compliance</t>
        </is>
      </c>
      <c r="D92" s="8" t="inlineStr">
        <is>
          <t>Age gating</t>
        </is>
      </c>
      <c r="E92" s="8" t="inlineStr">
        <is>
          <t>As a compliance owner I want age verification so that we do not process minors' data unlawfully.</t>
        </is>
      </c>
      <c r="F92" s="8" t="inlineStr">
        <is>
          <t>1) Date-of-birth gate at sign-up for the account holder. 2) Under 16 blocked in Germany without parental consent. 3) Store age rating aligned. 4) Neutral, non-leading design.</t>
        </is>
      </c>
      <c r="G92" s="14" t="inlineStr">
        <is>
          <t>Must</t>
        </is>
      </c>
      <c r="H92" s="15" t="n">
        <v>5</v>
      </c>
      <c r="I92" s="16" t="inlineStr">
        <is>
          <t>MVP</t>
        </is>
      </c>
      <c r="J92" s="7" t="inlineStr">
        <is>
          <t>Legal</t>
        </is>
      </c>
      <c r="K92" s="7" t="inlineStr">
        <is>
          <t>US-011</t>
        </is>
      </c>
      <c r="L92" s="9" t="inlineStr">
        <is>
          <t>To Do</t>
        </is>
      </c>
      <c r="M92" s="9" t="inlineStr"/>
    </row>
    <row r="93">
      <c r="A93" s="10" t="inlineStr">
        <is>
          <t>US-102</t>
        </is>
      </c>
      <c r="B93" s="10" t="inlineStr">
        <is>
          <t>E11</t>
        </is>
      </c>
      <c r="C93" s="11" t="inlineStr">
        <is>
          <t>GDPR, Privacy &amp; Legal Compliance</t>
        </is>
      </c>
      <c r="D93" s="11" t="inlineStr">
        <is>
          <t>Career feature terms of use restriction</t>
        </is>
      </c>
      <c r="E93" s="11" t="inlineStr">
        <is>
          <t>As a compliance owner I want the career feature contractually limited to personal use so that it is never used for employment decisions.</t>
        </is>
      </c>
      <c r="F93" s="11" t="inlineStr">
        <is>
          <t>1) Terms of service explicitly prohibit use by employers, recruiters or agencies to assess candidates. 2) Stated on the career page itself, not buried in the AGB. 3) No B2B API, bulk analysis or multi-candidate comparison exposed. 4) Keeps the product outside EU AI Act high-risk employment scope and GDPR Article 22. 5) Reviewed by a German employment lawyer.</t>
        </is>
      </c>
      <c r="G93" s="17" t="inlineStr">
        <is>
          <t>Must</t>
        </is>
      </c>
      <c r="H93" s="18" t="n">
        <v>5</v>
      </c>
      <c r="I93" s="16" t="inlineStr">
        <is>
          <t>MVP</t>
        </is>
      </c>
      <c r="J93" s="10" t="inlineStr">
        <is>
          <t>Legal</t>
        </is>
      </c>
      <c r="K93" s="10" t="inlineStr">
        <is>
          <t>US-138</t>
        </is>
      </c>
      <c r="L93" s="9" t="inlineStr">
        <is>
          <t>To Do</t>
        </is>
      </c>
      <c r="M93" s="9" t="inlineStr"/>
    </row>
    <row r="94">
      <c r="A94" s="7" t="inlineStr">
        <is>
          <t>US-105</t>
        </is>
      </c>
      <c r="B94" s="7" t="inlineStr">
        <is>
          <t>E12</t>
        </is>
      </c>
      <c r="C94" s="8" t="inlineStr">
        <is>
          <t>Admin &amp; Support Backoffice</t>
        </is>
      </c>
      <c r="D94" s="8" t="inlineStr">
        <is>
          <t>Admin console with role-based access</t>
        </is>
      </c>
      <c r="E94" s="8" t="inlineStr">
        <is>
          <t>As an operations lead I want internal tooling so that support can resolve issues without engineers.</t>
        </is>
      </c>
      <c r="F94" s="8" t="inlineStr">
        <is>
          <t>1) Roles: Support, Ops, Finance, Admin, Reviewer. 2) Least privilege; birth data access requires justification and is logged. 3) SSO with mandatory 2FA. 4) Full audit trail.</t>
        </is>
      </c>
      <c r="G94" s="14" t="inlineStr">
        <is>
          <t>Must</t>
        </is>
      </c>
      <c r="H94" s="15" t="n">
        <v>13</v>
      </c>
      <c r="I94" s="16" t="inlineStr">
        <is>
          <t>MVP</t>
        </is>
      </c>
      <c r="J94" s="7" t="inlineStr">
        <is>
          <t>Web</t>
        </is>
      </c>
      <c r="K94" s="7" t="inlineStr">
        <is>
          <t>US-011</t>
        </is>
      </c>
      <c r="L94" s="9" t="inlineStr">
        <is>
          <t>To Do</t>
        </is>
      </c>
      <c r="M94" s="9" t="inlineStr"/>
    </row>
    <row r="95">
      <c r="A95" s="10" t="inlineStr">
        <is>
          <t>US-106</t>
        </is>
      </c>
      <c r="B95" s="10" t="inlineStr">
        <is>
          <t>E12</t>
        </is>
      </c>
      <c r="C95" s="11" t="inlineStr">
        <is>
          <t>Admin &amp; Support Backoffice</t>
        </is>
      </c>
      <c r="D95" s="11" t="inlineStr">
        <is>
          <t>Order management and manual intervention</t>
        </is>
      </c>
      <c r="E95" s="11" t="inlineStr">
        <is>
          <t>As a support agent I want to inspect and act on an order so that I can unblock customers.</t>
        </is>
      </c>
      <c r="F95" s="11" t="inlineStr">
        <is>
          <t>1) View order, payment, assignment, SLA state and report version history. 2) Reassign, extend deadline, resend report, issue refund. 3) Every action logged with actor and reason. 4) Optional customer-visible note.</t>
        </is>
      </c>
      <c r="G95" s="17" t="inlineStr">
        <is>
          <t>Must</t>
        </is>
      </c>
      <c r="H95" s="18" t="n">
        <v>8</v>
      </c>
      <c r="I95" s="16" t="inlineStr">
        <is>
          <t>MVP</t>
        </is>
      </c>
      <c r="J95" s="10" t="inlineStr">
        <is>
          <t>Web</t>
        </is>
      </c>
      <c r="K95" s="10" t="inlineStr">
        <is>
          <t>US-105</t>
        </is>
      </c>
      <c r="L95" s="9" t="inlineStr">
        <is>
          <t>To Do</t>
        </is>
      </c>
      <c r="M95" s="9" t="inlineStr"/>
    </row>
    <row r="96">
      <c r="A96" s="7" t="inlineStr">
        <is>
          <t>US-107</t>
        </is>
      </c>
      <c r="B96" s="7" t="inlineStr">
        <is>
          <t>E12</t>
        </is>
      </c>
      <c r="C96" s="8" t="inlineStr">
        <is>
          <t>Admin &amp; Support Backoffice</t>
        </is>
      </c>
      <c r="D96" s="8" t="inlineStr">
        <is>
          <t>Astrologer management and quality scoring</t>
        </is>
      </c>
      <c r="E96" s="8" t="inlineStr">
        <is>
          <t>As an operations lead I want astrologer performance visible so that I can coach or offboard.</t>
        </is>
      </c>
      <c r="F96" s="8" t="inlineStr">
        <is>
          <t>1) Volume, average rating, SLA hit rate, rework rate and refund rate per astrologer. 2) Auto-flag below 4.0 over 10 orders. 3) Suspend and reactivate. 4) Payout history linked.</t>
        </is>
      </c>
      <c r="G96" s="20" t="inlineStr">
        <is>
          <t>Should</t>
        </is>
      </c>
      <c r="H96" s="15" t="n">
        <v>8</v>
      </c>
      <c r="I96" s="16" t="inlineStr">
        <is>
          <t>MVP</t>
        </is>
      </c>
      <c r="J96" s="7" t="inlineStr">
        <is>
          <t>Web</t>
        </is>
      </c>
      <c r="K96" s="7" t="inlineStr">
        <is>
          <t>US-105</t>
        </is>
      </c>
      <c r="L96" s="9" t="inlineStr">
        <is>
          <t>To Do</t>
        </is>
      </c>
      <c r="M96" s="9" t="inlineStr"/>
    </row>
    <row r="97">
      <c r="A97" s="10" t="inlineStr">
        <is>
          <t>US-108</t>
        </is>
      </c>
      <c r="B97" s="10" t="inlineStr">
        <is>
          <t>E12</t>
        </is>
      </c>
      <c r="C97" s="11" t="inlineStr">
        <is>
          <t>Admin &amp; Support Backoffice</t>
        </is>
      </c>
      <c r="D97" s="11" t="inlineStr">
        <is>
          <t>Support ticketing integration</t>
        </is>
      </c>
      <c r="E97" s="11" t="inlineStr">
        <is>
          <t>As a support agent I want tickets linked to orders so that context is not lost.</t>
        </is>
      </c>
      <c r="F97" s="11" t="inlineStr">
        <is>
          <t>1) Helpdesk integration with order deep links. 2) German-language macros. 3) 24h first-response SLA on working days. 4) CSAT captured.</t>
        </is>
      </c>
      <c r="G97" s="19" t="inlineStr">
        <is>
          <t>Should</t>
        </is>
      </c>
      <c r="H97" s="18" t="n">
        <v>5</v>
      </c>
      <c r="I97" s="16" t="inlineStr">
        <is>
          <t>MVP</t>
        </is>
      </c>
      <c r="J97" s="10" t="inlineStr">
        <is>
          <t>Ops</t>
        </is>
      </c>
      <c r="K97" s="10" t="inlineStr">
        <is>
          <t>US-106</t>
        </is>
      </c>
      <c r="L97" s="9" t="inlineStr">
        <is>
          <t>To Do</t>
        </is>
      </c>
      <c r="M97" s="9" t="inlineStr"/>
    </row>
    <row r="98">
      <c r="A98" s="7" t="inlineStr">
        <is>
          <t>US-109</t>
        </is>
      </c>
      <c r="B98" s="7" t="inlineStr">
        <is>
          <t>E12</t>
        </is>
      </c>
      <c r="C98" s="8" t="inlineStr">
        <is>
          <t>Admin &amp; Support Backoffice</t>
        </is>
      </c>
      <c r="D98" s="8" t="inlineStr">
        <is>
          <t>Content management for insight and career templates</t>
        </is>
      </c>
      <c r="E98" s="8" t="inlineStr">
        <is>
          <t>As a content lead I want to edit rule-based copy and the industry mappings without a release so that content improves continuously.</t>
        </is>
      </c>
      <c r="F98" s="8" t="inlineStr">
        <is>
          <t>1) CMS-backed templates and rule sets with versioning and preview. 2) Publish requires reviewer approval. 3) Rollback to any prior version. 4) Localised per language.</t>
        </is>
      </c>
      <c r="G98" s="20" t="inlineStr">
        <is>
          <t>Should</t>
        </is>
      </c>
      <c r="H98" s="15" t="n">
        <v>8</v>
      </c>
      <c r="I98" s="16" t="inlineStr">
        <is>
          <t>MVP</t>
        </is>
      </c>
      <c r="J98" s="7" t="inlineStr">
        <is>
          <t>Web</t>
        </is>
      </c>
      <c r="K98" s="7" t="inlineStr">
        <is>
          <t>US-132</t>
        </is>
      </c>
      <c r="L98" s="9" t="inlineStr">
        <is>
          <t>To Do</t>
        </is>
      </c>
      <c r="M98" s="9" t="inlineStr"/>
    </row>
    <row r="99">
      <c r="A99" s="10" t="inlineStr">
        <is>
          <t>US-110</t>
        </is>
      </c>
      <c r="B99" s="10" t="inlineStr">
        <is>
          <t>E13</t>
        </is>
      </c>
      <c r="C99" s="11" t="inlineStr">
        <is>
          <t>Analytics, Growth &amp; ASO</t>
        </is>
      </c>
      <c r="D99" s="11" t="inlineStr">
        <is>
          <t>Consent-gated product analytics</t>
        </is>
      </c>
      <c r="E99" s="11" t="inlineStr">
        <is>
          <t>As a product owner I want event analytics so that I can measure the funnel.</t>
        </is>
      </c>
      <c r="F99" s="11" t="inlineStr">
        <is>
          <t>1) Events: install, onboarding_complete, chart_generated, industry_selected, career_analysis_viewed, evaluation_viewed, checkout_started, purchase, report_opened, rating_given. 2) Fires only with consent. 3) EU-hosted or IP-anonymised. 4) Schema documented and versioned.</t>
        </is>
      </c>
      <c r="G99" s="17" t="inlineStr">
        <is>
          <t>Must</t>
        </is>
      </c>
      <c r="H99" s="18" t="n">
        <v>8</v>
      </c>
      <c r="I99" s="16" t="inlineStr">
        <is>
          <t>MVP</t>
        </is>
      </c>
      <c r="J99" s="10" t="inlineStr">
        <is>
          <t>Analytics</t>
        </is>
      </c>
      <c r="K99" s="10" t="inlineStr">
        <is>
          <t>US-095</t>
        </is>
      </c>
      <c r="L99" s="9" t="inlineStr">
        <is>
          <t>To Do</t>
        </is>
      </c>
      <c r="M99" s="9" t="inlineStr"/>
    </row>
    <row r="100">
      <c r="A100" s="7" t="inlineStr">
        <is>
          <t>US-111</t>
        </is>
      </c>
      <c r="B100" s="7" t="inlineStr">
        <is>
          <t>E13</t>
        </is>
      </c>
      <c r="C100" s="8" t="inlineStr">
        <is>
          <t>Analytics, Growth &amp; ASO</t>
        </is>
      </c>
      <c r="D100" s="8" t="inlineStr">
        <is>
          <t>Conversion funnel and revenue dashboard</t>
        </is>
      </c>
      <c r="E100" s="8" t="inlineStr">
        <is>
          <t>As a founder I want a live dashboard so that I know conversion and unit economics.</t>
        </is>
      </c>
      <c r="F100" s="8" t="inlineStr">
        <is>
          <t>1) Funnel from install to paid, with the career page as a distinct step. 2) Revenue, refund rate, gross margin per order, CAC and LTV. 3) Segmentable by channel, language and selected industry. 4) Daily refresh.</t>
        </is>
      </c>
      <c r="G100" s="14" t="inlineStr">
        <is>
          <t>Must</t>
        </is>
      </c>
      <c r="H100" s="15" t="n">
        <v>8</v>
      </c>
      <c r="I100" s="16" t="inlineStr">
        <is>
          <t>MVP</t>
        </is>
      </c>
      <c r="J100" s="7" t="inlineStr">
        <is>
          <t>Analytics</t>
        </is>
      </c>
      <c r="K100" s="7" t="inlineStr">
        <is>
          <t>US-110</t>
        </is>
      </c>
      <c r="L100" s="9" t="inlineStr">
        <is>
          <t>To Do</t>
        </is>
      </c>
      <c r="M100" s="9" t="inlineStr"/>
    </row>
    <row r="101">
      <c r="A101" s="10" t="inlineStr">
        <is>
          <t>US-112</t>
        </is>
      </c>
      <c r="B101" s="10" t="inlineStr">
        <is>
          <t>E13</t>
        </is>
      </c>
      <c r="C101" s="11" t="inlineStr">
        <is>
          <t>Analytics, Growth &amp; ASO</t>
        </is>
      </c>
      <c r="D101" s="11" t="inlineStr">
        <is>
          <t>App Store and Play Store listings (German)</t>
        </is>
      </c>
      <c r="E101" s="11" t="inlineStr">
        <is>
          <t>As a growth manager I want optimised German listings so that we rank and convert.</t>
        </is>
      </c>
      <c r="F101" s="11" t="inlineStr">
        <is>
          <t>1) German title, subtitle, keywords, six or more screenshots and a preview video. 2) Compliant with Apple 4.3 and fortune-telling content rules. 3) Privacy labels and Data Safety completed accurately. 4) A/B tested via Play Store experiments.</t>
        </is>
      </c>
      <c r="G101" s="17" t="inlineStr">
        <is>
          <t>Must</t>
        </is>
      </c>
      <c r="H101" s="18" t="n">
        <v>8</v>
      </c>
      <c r="I101" s="16" t="inlineStr">
        <is>
          <t>MVP</t>
        </is>
      </c>
      <c r="J101" s="10" t="inlineStr">
        <is>
          <t>Growth</t>
        </is>
      </c>
      <c r="K101" s="10" t="inlineStr">
        <is>
          <t>US-098</t>
        </is>
      </c>
      <c r="L101" s="9" t="inlineStr">
        <is>
          <t>To Do</t>
        </is>
      </c>
      <c r="M101" s="9" t="inlineStr"/>
    </row>
    <row r="102">
      <c r="A102" s="7" t="inlineStr">
        <is>
          <t>US-113</t>
        </is>
      </c>
      <c r="B102" s="7" t="inlineStr">
        <is>
          <t>E13</t>
        </is>
      </c>
      <c r="C102" s="8" t="inlineStr">
        <is>
          <t>Analytics, Growth &amp; ASO</t>
        </is>
      </c>
      <c r="D102" s="8" t="inlineStr">
        <is>
          <t>Attribution and paid acquisition setup</t>
        </is>
      </c>
      <c r="E102" s="8" t="inlineStr">
        <is>
          <t>As a growth manager I want attribution so that I can measure paid channels.</t>
        </is>
      </c>
      <c r="F102" s="8" t="inlineStr">
        <is>
          <t>1) SKAdNetwork and Privacy Sandbox compliant. 2) ATT prompt handled correctly. 3) Channel-level CAC. 4) No cross-app tracking without consent.</t>
        </is>
      </c>
      <c r="G102" s="20" t="inlineStr">
        <is>
          <t>Should</t>
        </is>
      </c>
      <c r="H102" s="15" t="n">
        <v>8</v>
      </c>
      <c r="I102" s="9" t="inlineStr">
        <is>
          <t>R1.1</t>
        </is>
      </c>
      <c r="J102" s="7" t="inlineStr">
        <is>
          <t>Growth</t>
        </is>
      </c>
      <c r="K102" s="7" t="inlineStr">
        <is>
          <t>US-110</t>
        </is>
      </c>
      <c r="L102" s="9" t="inlineStr">
        <is>
          <t>To Do</t>
        </is>
      </c>
      <c r="M102" s="9" t="inlineStr"/>
    </row>
    <row r="103">
      <c r="A103" s="10" t="inlineStr">
        <is>
          <t>US-114</t>
        </is>
      </c>
      <c r="B103" s="10" t="inlineStr">
        <is>
          <t>E13</t>
        </is>
      </c>
      <c r="C103" s="11" t="inlineStr">
        <is>
          <t>Analytics, Growth &amp; ASO</t>
        </is>
      </c>
      <c r="D103" s="11" t="inlineStr">
        <is>
          <t>A/B testing framework</t>
        </is>
      </c>
      <c r="E103" s="11" t="inlineStr">
        <is>
          <t>As a product owner I want experiments so that we can optimise conversion.</t>
        </is>
      </c>
      <c r="F103" s="11" t="inlineStr">
        <is>
          <t>1) Server-side sticky assignment. 2) Guardrail metrics monitored. 3) Significance reporting. 4) Price tests comply with store and consumer-law rules.</t>
        </is>
      </c>
      <c r="G103" s="23" t="inlineStr">
        <is>
          <t>Could</t>
        </is>
      </c>
      <c r="H103" s="18" t="n">
        <v>8</v>
      </c>
      <c r="I103" s="9" t="inlineStr">
        <is>
          <t>R1.1</t>
        </is>
      </c>
      <c r="J103" s="10" t="inlineStr">
        <is>
          <t>Growth</t>
        </is>
      </c>
      <c r="K103" s="10" t="inlineStr">
        <is>
          <t>US-006</t>
        </is>
      </c>
      <c r="L103" s="9" t="inlineStr">
        <is>
          <t>To Do</t>
        </is>
      </c>
      <c r="M103" s="9" t="inlineStr"/>
    </row>
    <row r="104">
      <c r="A104" s="7" t="inlineStr">
        <is>
          <t>US-115</t>
        </is>
      </c>
      <c r="B104" s="7" t="inlineStr">
        <is>
          <t>E14</t>
        </is>
      </c>
      <c r="C104" s="8" t="inlineStr">
        <is>
          <t>Quality, Security &amp; Release Engineering</t>
        </is>
      </c>
      <c r="D104" s="8" t="inlineStr">
        <is>
          <t>Automated test suite</t>
        </is>
      </c>
      <c r="E104" s="8" t="inlineStr">
        <is>
          <t>As a QA lead I want automated tests so that regressions are caught before release.</t>
        </is>
      </c>
      <c r="F104" s="8" t="inlineStr">
        <is>
          <t>1) 70%+ unit coverage on engine, career rules and payment code. 2) API contract tests. 3) Nightly E2E on real devices: sign up, chart, career analysis, pay, receive report. 4) Test payment mode isolated from production.</t>
        </is>
      </c>
      <c r="G104" s="14" t="inlineStr">
        <is>
          <t>Must</t>
        </is>
      </c>
      <c r="H104" s="15" t="n">
        <v>13</v>
      </c>
      <c r="I104" s="16" t="inlineStr">
        <is>
          <t>MVP</t>
        </is>
      </c>
      <c r="J104" s="7" t="inlineStr">
        <is>
          <t>QA</t>
        </is>
      </c>
      <c r="K104" s="7" t="inlineStr">
        <is>
          <t>US-002</t>
        </is>
      </c>
      <c r="L104" s="9" t="inlineStr">
        <is>
          <t>To Do</t>
        </is>
      </c>
      <c r="M104" s="9" t="inlineStr"/>
    </row>
    <row r="105">
      <c r="A105" s="10" t="inlineStr">
        <is>
          <t>US-116</t>
        </is>
      </c>
      <c r="B105" s="10" t="inlineStr">
        <is>
          <t>E14</t>
        </is>
      </c>
      <c r="C105" s="11" t="inlineStr">
        <is>
          <t>Quality, Security &amp; Release Engineering</t>
        </is>
      </c>
      <c r="D105" s="11" t="inlineStr">
        <is>
          <t>Security review and penetration test</t>
        </is>
      </c>
      <c r="E105" s="11" t="inlineStr">
        <is>
          <t>As a security owner I want an external pen test so that we launch without critical vulnerabilities.</t>
        </is>
      </c>
      <c r="F105" s="11" t="inlineStr">
        <is>
          <t>1) OWASP MASVS for mobile, ASVS L2 for the API. 2) External pen test before public launch. 3) All critical and high findings fixed and retested. 4) Certificate pinning, no secrets in the binary.</t>
        </is>
      </c>
      <c r="G105" s="17" t="inlineStr">
        <is>
          <t>Must</t>
        </is>
      </c>
      <c r="H105" s="18" t="n">
        <v>13</v>
      </c>
      <c r="I105" s="16" t="inlineStr">
        <is>
          <t>MVP</t>
        </is>
      </c>
      <c r="J105" s="10" t="inlineStr">
        <is>
          <t>Security</t>
        </is>
      </c>
      <c r="K105" s="10" t="inlineStr">
        <is>
          <t>US-024</t>
        </is>
      </c>
      <c r="L105" s="9" t="inlineStr">
        <is>
          <t>To Do</t>
        </is>
      </c>
      <c r="M105" s="9" t="inlineStr"/>
    </row>
    <row r="106">
      <c r="A106" s="7" t="inlineStr">
        <is>
          <t>US-117</t>
        </is>
      </c>
      <c r="B106" s="7" t="inlineStr">
        <is>
          <t>E14</t>
        </is>
      </c>
      <c r="C106" s="8" t="inlineStr">
        <is>
          <t>Quality, Security &amp; Release Engineering</t>
        </is>
      </c>
      <c r="D106" s="8" t="inlineStr">
        <is>
          <t>Load and performance testing</t>
        </is>
      </c>
      <c r="E106" s="8" t="inlineStr">
        <is>
          <t>As an engineer I want load tests so that a marketing spike does not take us down.</t>
        </is>
      </c>
      <c r="F106" s="8" t="inlineStr">
        <is>
          <t>1) 200 requests per second with p95 under 500ms. 2) PDF generation handles 500 orders per day within SLA. 3) Autoscaling verified. 4) Graceful degradation tested.</t>
        </is>
      </c>
      <c r="G106" s="20" t="inlineStr">
        <is>
          <t>Should</t>
        </is>
      </c>
      <c r="H106" s="15" t="n">
        <v>8</v>
      </c>
      <c r="I106" s="16" t="inlineStr">
        <is>
          <t>MVP</t>
        </is>
      </c>
      <c r="J106" s="7" t="inlineStr">
        <is>
          <t>QA</t>
        </is>
      </c>
      <c r="K106" s="7" t="inlineStr">
        <is>
          <t>US-039</t>
        </is>
      </c>
      <c r="L106" s="9" t="inlineStr">
        <is>
          <t>To Do</t>
        </is>
      </c>
      <c r="M106" s="9" t="inlineStr"/>
    </row>
    <row r="107">
      <c r="A107" s="10" t="inlineStr">
        <is>
          <t>US-118</t>
        </is>
      </c>
      <c r="B107" s="10" t="inlineStr">
        <is>
          <t>E14</t>
        </is>
      </c>
      <c r="C107" s="11" t="inlineStr">
        <is>
          <t>Quality, Security &amp; Release Engineering</t>
        </is>
      </c>
      <c r="D107" s="11" t="inlineStr">
        <is>
          <t>Accessibility compliance</t>
        </is>
      </c>
      <c r="E107" s="11" t="inlineStr">
        <is>
          <t>As a user with a disability I want an accessible app so that I can use it independently.</t>
        </is>
      </c>
      <c r="F107" s="11" t="inlineStr">
        <is>
          <t>1) Screen reader labels everywhere including a text alternative for the chart. 2) Dynamic type to 200%. 3) Contrast 4.5:1 or better. 4) Audited against EN 301 549 and BFSG expectations.</t>
        </is>
      </c>
      <c r="G107" s="17" t="inlineStr">
        <is>
          <t>Must</t>
        </is>
      </c>
      <c r="H107" s="18" t="n">
        <v>8</v>
      </c>
      <c r="I107" s="16" t="inlineStr">
        <is>
          <t>MVP</t>
        </is>
      </c>
      <c r="J107" s="10" t="inlineStr">
        <is>
          <t>Mobile</t>
        </is>
      </c>
      <c r="K107" s="10" t="inlineStr">
        <is>
          <t>US-004</t>
        </is>
      </c>
      <c r="L107" s="9" t="inlineStr">
        <is>
          <t>To Do</t>
        </is>
      </c>
      <c r="M107" s="9" t="inlineStr"/>
    </row>
    <row r="108">
      <c r="A108" s="7" t="inlineStr">
        <is>
          <t>US-119</t>
        </is>
      </c>
      <c r="B108" s="7" t="inlineStr">
        <is>
          <t>E14</t>
        </is>
      </c>
      <c r="C108" s="8" t="inlineStr">
        <is>
          <t>Quality, Security &amp; Release Engineering</t>
        </is>
      </c>
      <c r="D108" s="8" t="inlineStr">
        <is>
          <t>Beta programme</t>
        </is>
      </c>
      <c r="E108" s="8" t="inlineStr">
        <is>
          <t>As a product owner I want a closed beta with German users so that we validate before launch.</t>
        </is>
      </c>
      <c r="F108" s="8" t="inlineStr">
        <is>
          <t>1) 50-100 German testers. 2) Two weeks of real orders at reduced price. 3) Structured feedback, including on the career feature's tone. 4) Go/no-go: crash-free above 99%, average rating 4.2 or higher, zero SLA breaches.</t>
        </is>
      </c>
      <c r="G108" s="14" t="inlineStr">
        <is>
          <t>Must</t>
        </is>
      </c>
      <c r="H108" s="15" t="n">
        <v>8</v>
      </c>
      <c r="I108" s="16" t="inlineStr">
        <is>
          <t>MVP</t>
        </is>
      </c>
      <c r="J108" s="7" t="inlineStr">
        <is>
          <t>QA</t>
        </is>
      </c>
      <c r="K108" s="7" t="inlineStr">
        <is>
          <t>US-112</t>
        </is>
      </c>
      <c r="L108" s="9" t="inlineStr">
        <is>
          <t>To Do</t>
        </is>
      </c>
      <c r="M108" s="9" t="inlineStr"/>
    </row>
    <row r="109">
      <c r="A109" s="10" t="inlineStr">
        <is>
          <t>US-120</t>
        </is>
      </c>
      <c r="B109" s="10" t="inlineStr">
        <is>
          <t>E14</t>
        </is>
      </c>
      <c r="C109" s="11" t="inlineStr">
        <is>
          <t>Quality, Security &amp; Release Engineering</t>
        </is>
      </c>
      <c r="D109" s="11" t="inlineStr">
        <is>
          <t>Store submission and phased rollout</t>
        </is>
      </c>
      <c r="E109" s="11" t="inlineStr">
        <is>
          <t>As a release manager I want a controlled launch so that problems affect few users.</t>
        </is>
      </c>
      <c r="F109" s="11" t="inlineStr">
        <is>
          <t>1) Submitted with a demo account and reviewer notes explaining the human-expert service. 2) Phased release 1/10/50/100 percent over seven days. 3) Halt criteria defined. 4) Live in DE, AT and CH.</t>
        </is>
      </c>
      <c r="G109" s="17" t="inlineStr">
        <is>
          <t>Must</t>
        </is>
      </c>
      <c r="H109" s="18" t="n">
        <v>8</v>
      </c>
      <c r="I109" s="16" t="inlineStr">
        <is>
          <t>MVP</t>
        </is>
      </c>
      <c r="J109" s="10" t="inlineStr">
        <is>
          <t>Release</t>
        </is>
      </c>
      <c r="K109" s="10" t="inlineStr">
        <is>
          <t>US-119</t>
        </is>
      </c>
      <c r="L109" s="9" t="inlineStr">
        <is>
          <t>To Do</t>
        </is>
      </c>
      <c r="M109" s="9" t="inlineStr"/>
    </row>
    <row r="110">
      <c r="A110" s="7" t="inlineStr">
        <is>
          <t>US-121</t>
        </is>
      </c>
      <c r="B110" s="7" t="inlineStr">
        <is>
          <t>E14</t>
        </is>
      </c>
      <c r="C110" s="8" t="inlineStr">
        <is>
          <t>Quality, Security &amp; Release Engineering</t>
        </is>
      </c>
      <c r="D110" s="8" t="inlineStr">
        <is>
          <t>Incident response and on-call runbook</t>
        </is>
      </c>
      <c r="E110" s="8" t="inlineStr">
        <is>
          <t>As an on-call engineer I want runbooks so that incidents are handled consistently.</t>
        </is>
      </c>
      <c r="F110" s="8" t="inlineStr">
        <is>
          <t>1) Severity definitions and escalation path. 2) Runbooks for payment outage, PDF backlog and data breach. 3) GDPR 72-hour breach notification procedure. 4) Post-incident review template.</t>
        </is>
      </c>
      <c r="G110" s="14" t="inlineStr">
        <is>
          <t>Must</t>
        </is>
      </c>
      <c r="H110" s="15" t="n">
        <v>5</v>
      </c>
      <c r="I110" s="16" t="inlineStr">
        <is>
          <t>MVP</t>
        </is>
      </c>
      <c r="J110" s="7" t="inlineStr">
        <is>
          <t>Ops</t>
        </is>
      </c>
      <c r="K110" s="7" t="inlineStr">
        <is>
          <t>US-007</t>
        </is>
      </c>
      <c r="L110" s="9" t="inlineStr">
        <is>
          <t>To Do</t>
        </is>
      </c>
      <c r="M110" s="9" t="inlineStr"/>
    </row>
    <row r="111">
      <c r="A111" s="10" t="inlineStr">
        <is>
          <t>US-125</t>
        </is>
      </c>
      <c r="B111" s="10" t="inlineStr">
        <is>
          <t>E15</t>
        </is>
      </c>
      <c r="C111" s="11" t="inlineStr">
        <is>
          <t>Post-MVP: Matchmaking, Horoscopes &amp; Consultations</t>
        </is>
      </c>
      <c r="D111" s="11" t="inlineStr">
        <is>
          <t>Kundali Milan (compatibility matching)</t>
        </is>
      </c>
      <c r="E111" s="11" t="inlineStr">
        <is>
          <t>As a user I want to check compatibility with a partner so that I get relationship guidance.</t>
        </is>
      </c>
      <c r="F111" s="11" t="inlineStr">
        <is>
          <t>1) Ashtakoota 36-guna scoring plus Mangal dosha comparison. 2) Two profiles required. 3) Free summary, paid expert compatibility report. 4) Sensitive framing for a Western audience.</t>
        </is>
      </c>
      <c r="G111" s="19" t="inlineStr">
        <is>
          <t>Should</t>
        </is>
      </c>
      <c r="H111" s="18" t="n">
        <v>13</v>
      </c>
      <c r="I111" s="12" t="inlineStr">
        <is>
          <t>R2</t>
        </is>
      </c>
      <c r="J111" s="10" t="inlineStr">
        <is>
          <t>Product</t>
        </is>
      </c>
      <c r="K111" s="10" t="inlineStr">
        <is>
          <t>US-037</t>
        </is>
      </c>
      <c r="L111" s="9" t="inlineStr">
        <is>
          <t>To Do</t>
        </is>
      </c>
      <c r="M111" s="9" t="inlineStr"/>
    </row>
    <row r="112">
      <c r="A112" s="7" t="inlineStr">
        <is>
          <t>US-126</t>
        </is>
      </c>
      <c r="B112" s="7" t="inlineStr">
        <is>
          <t>E15</t>
        </is>
      </c>
      <c r="C112" s="8" t="inlineStr">
        <is>
          <t>Post-MVP: Matchmaking, Horoscopes &amp; Consultations</t>
        </is>
      </c>
      <c r="D112" s="8" t="inlineStr">
        <is>
          <t>Daily, weekly and monthly horoscopes</t>
        </is>
      </c>
      <c r="E112" s="8" t="inlineStr">
        <is>
          <t>As a user I want regular horoscopes so that I engage habitually.</t>
        </is>
      </c>
      <c r="F112" s="8" t="inlineStr">
        <is>
          <t>1) Personalised by moon sign and running dasha, not generic sun sign. 2) Auto-generated and astrologer-reviewed. 3) Push-linked. 4) Archive of past entries.</t>
        </is>
      </c>
      <c r="G112" s="20" t="inlineStr">
        <is>
          <t>Should</t>
        </is>
      </c>
      <c r="H112" s="15" t="n">
        <v>13</v>
      </c>
      <c r="I112" s="12" t="inlineStr">
        <is>
          <t>R2</t>
        </is>
      </c>
      <c r="J112" s="7" t="inlineStr">
        <is>
          <t>Content</t>
        </is>
      </c>
      <c r="K112" s="7" t="inlineStr">
        <is>
          <t>US-038</t>
        </is>
      </c>
      <c r="L112" s="9" t="inlineStr">
        <is>
          <t>To Do</t>
        </is>
      </c>
      <c r="M112" s="9" t="inlineStr"/>
    </row>
    <row r="113">
      <c r="A113" s="10" t="inlineStr">
        <is>
          <t>US-127</t>
        </is>
      </c>
      <c r="B113" s="10" t="inlineStr">
        <is>
          <t>E15</t>
        </is>
      </c>
      <c r="C113" s="11" t="inlineStr">
        <is>
          <t>Post-MVP: Matchmaking, Horoscopes &amp; Consultations</t>
        </is>
      </c>
      <c r="D113" s="11" t="inlineStr">
        <is>
          <t>Live consultation (chat and video)</t>
        </is>
      </c>
      <c r="E113" s="11" t="inlineStr">
        <is>
          <t>As a user I want to speak to an astrologer directly so that I can go deeper than a report.</t>
        </is>
      </c>
      <c r="F113" s="11" t="inlineStr">
        <is>
          <t>1) Bookable slots with per-minute or fixed pricing. 2) In-app chat and WebRTC video with recording consent. 3) Timezone-correct scheduling. 4) No-show and cancellation policy.</t>
        </is>
      </c>
      <c r="G113" s="23" t="inlineStr">
        <is>
          <t>Could</t>
        </is>
      </c>
      <c r="H113" s="18" t="n">
        <v>21</v>
      </c>
      <c r="I113" s="12" t="inlineStr">
        <is>
          <t>R2</t>
        </is>
      </c>
      <c r="J113" s="10" t="inlineStr">
        <is>
          <t>Product</t>
        </is>
      </c>
      <c r="K113" s="10" t="inlineStr">
        <is>
          <t>US-073</t>
        </is>
      </c>
      <c r="L113" s="9" t="inlineStr">
        <is>
          <t>To Do</t>
        </is>
      </c>
      <c r="M113" s="9" t="inlineStr"/>
    </row>
    <row r="114">
      <c r="A114" s="7" t="inlineStr">
        <is>
          <t>US-128</t>
        </is>
      </c>
      <c r="B114" s="7" t="inlineStr">
        <is>
          <t>E15</t>
        </is>
      </c>
      <c r="C114" s="8" t="inlineStr">
        <is>
          <t>Post-MVP: Matchmaking, Horoscopes &amp; Consultations</t>
        </is>
      </c>
      <c r="D114" s="8" t="inlineStr">
        <is>
          <t>Subscription tier</t>
        </is>
      </c>
      <c r="E114" s="8" t="inlineStr">
        <is>
          <t>As a frequent user I want a monthly plan so that I get ongoing value at a better price.</t>
        </is>
      </c>
      <c r="F114" s="8" t="inlineStr">
        <is>
          <t>1) Monthly transit report, unlimited insights, discounted evaluations. 2) Store IAP required by Apple for subscriptions. 3) German auto-renewal disclosure rules met. 4) Churn dashboard.</t>
        </is>
      </c>
      <c r="G114" s="21" t="inlineStr">
        <is>
          <t>Could</t>
        </is>
      </c>
      <c r="H114" s="15" t="n">
        <v>21</v>
      </c>
      <c r="I114" s="12" t="inlineStr">
        <is>
          <t>R2</t>
        </is>
      </c>
      <c r="J114" s="7" t="inlineStr">
        <is>
          <t>Payments</t>
        </is>
      </c>
      <c r="K114" s="7" t="inlineStr">
        <is>
          <t>US-079</t>
        </is>
      </c>
      <c r="L114" s="9" t="inlineStr">
        <is>
          <t>To Do</t>
        </is>
      </c>
      <c r="M114" s="9" t="inlineStr"/>
    </row>
  </sheetData>
  <autoFilter ref="A1:M114"/>
  <dataValidations count="1">
    <dataValidation sqref="L2:L114" showDropDown="0" showInputMessage="0" showErrorMessage="0" allowBlank="1" type="list">
      <formula1>"To Do,In Progress,In Review,Done,Blocked"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62" customWidth="1" min="4" max="4"/>
    <col width="20" customWidth="1" min="5" max="5"/>
    <col width="66" customWidth="1" min="6" max="6"/>
  </cols>
  <sheetData>
    <row r="1" ht="30" customHeight="1">
      <c r="A1" s="6" t="inlineStr">
        <is>
          <t>Phase</t>
        </is>
      </c>
      <c r="B1" s="6" t="inlineStr">
        <is>
          <t>Sprint</t>
        </is>
      </c>
      <c r="C1" s="6" t="inlineStr">
        <is>
          <t>Weeks</t>
        </is>
      </c>
      <c r="D1" s="6" t="inlineStr">
        <is>
          <t>Focus</t>
        </is>
      </c>
      <c r="E1" s="6" t="inlineStr">
        <is>
          <t>Key Epics</t>
        </is>
      </c>
      <c r="F1" s="6" t="inlineStr">
        <is>
          <t>Exit Criteria</t>
        </is>
      </c>
    </row>
    <row r="2">
      <c r="A2" s="7" t="inlineStr">
        <is>
          <t>Discovery</t>
        </is>
      </c>
      <c r="B2" s="7" t="inlineStr">
        <is>
          <t>S0</t>
        </is>
      </c>
      <c r="C2" s="7" t="inlineStr">
        <is>
          <t>Wk 1-2</t>
        </is>
      </c>
      <c r="D2" s="8" t="inlineStr">
        <is>
          <t>AGPL boundary decision + licensing legal review, entity setup, astrologer sourcing, design system</t>
        </is>
      </c>
      <c r="E2" s="7" t="inlineStr">
        <is>
          <t>E01, E04, E11</t>
        </is>
      </c>
      <c r="F2" s="8" t="inlineStr">
        <is>
          <t>Written AGPL decision record signed off by a lawyer; 5 astrologer candidates in pipeline</t>
        </is>
      </c>
    </row>
    <row r="3">
      <c r="A3" s="10" t="inlineStr">
        <is>
          <t>Build</t>
        </is>
      </c>
      <c r="B3" s="10" t="inlineStr">
        <is>
          <t>S1</t>
        </is>
      </c>
      <c r="C3" s="10" t="inlineStr">
        <is>
          <t>Wk 3-4</t>
        </is>
      </c>
      <c r="D3" s="11" t="inlineStr">
        <is>
          <t>Repo split (public engine / private platform), CI/CD, EU infra, app shell, auth</t>
        </is>
      </c>
      <c r="E3" s="10" t="inlineStr">
        <is>
          <t>E01, E02</t>
        </is>
      </c>
      <c r="F3" s="11" t="inlineStr">
        <is>
          <t>Signed build on TestFlight; a user can register</t>
        </is>
      </c>
    </row>
    <row r="4">
      <c r="A4" s="7" t="inlineStr">
        <is>
          <t>Build</t>
        </is>
      </c>
      <c r="B4" s="7" t="inlineStr">
        <is>
          <t>S2</t>
        </is>
      </c>
      <c r="C4" s="7" t="inlineStr">
        <is>
          <t>Wk 5-6</t>
        </is>
      </c>
      <c r="D4" s="8" t="inlineStr">
        <is>
          <t>Swiss Ephemeris via FFI + WASM, published engine package</t>
        </is>
      </c>
      <c r="E4" s="7" t="inlineStr">
        <is>
          <t>E04</t>
        </is>
      </c>
      <c r="F4" s="8" t="inlineStr">
        <is>
          <t>Identical chart output from the FFI and WASM builds on shared test vectors</t>
        </is>
      </c>
    </row>
    <row r="5">
      <c r="A5" s="10" t="inlineStr">
        <is>
          <t>Build</t>
        </is>
      </c>
      <c r="B5" s="10" t="inlineStr">
        <is>
          <t>S3</t>
        </is>
      </c>
      <c r="C5" s="10" t="inlineStr">
        <is>
          <t>Wk 7-8</t>
        </is>
      </c>
      <c r="D5" s="11" t="inlineStr">
        <is>
          <t>Birth data capture, geocoding, historical timezone resolution</t>
        </is>
      </c>
      <c r="E5" s="10" t="inlineStr">
        <is>
          <t>E03</t>
        </is>
      </c>
      <c r="F5" s="11" t="inlineStr">
        <is>
          <t>Correct UTC offset for 50 test births incl. German DST history</t>
        </is>
      </c>
    </row>
    <row r="6">
      <c r="A6" s="7" t="inlineStr">
        <is>
          <t>Build</t>
        </is>
      </c>
      <c r="B6" s="7" t="inlineStr">
        <is>
          <t>S4</t>
        </is>
      </c>
      <c r="C6" s="7" t="inlineStr">
        <is>
          <t>Wk 9-10</t>
        </is>
      </c>
      <c r="D6" s="8" t="inlineStr">
        <is>
          <t>D1, D9, D10, dashas, yogas, chart snapshot upload</t>
        </is>
      </c>
      <c r="E6" s="7" t="inlineStr">
        <is>
          <t>E04</t>
        </is>
      </c>
      <c r="F6" s="8" t="inlineStr">
        <is>
          <t>Engine matches astro.com on the golden-master suite</t>
        </is>
      </c>
    </row>
    <row r="7">
      <c r="A7" s="10" t="inlineStr">
        <is>
          <t>Build</t>
        </is>
      </c>
      <c r="B7" s="10" t="inlineStr">
        <is>
          <t>S5</t>
        </is>
      </c>
      <c r="C7" s="10" t="inlineStr">
        <is>
          <t>Wk 11-12</t>
        </is>
      </c>
      <c r="D7" s="11" t="inlineStr">
        <is>
          <t>Chart rendering, free insight cards, glossary</t>
        </is>
      </c>
      <c r="E7" s="10" t="inlineStr">
        <is>
          <t>E05, E09</t>
        </is>
      </c>
      <c r="F7" s="11" t="inlineStr">
        <is>
          <t>A user can generate and read their own chart end to end</t>
        </is>
      </c>
    </row>
    <row r="8">
      <c r="A8" s="12" t="inlineStr">
        <is>
          <t>Build</t>
        </is>
      </c>
      <c r="B8" s="12" t="inlineStr">
        <is>
          <t>S6</t>
        </is>
      </c>
      <c r="C8" s="12" t="inlineStr">
        <is>
          <t>Wk 13-14</t>
        </is>
      </c>
      <c r="D8" s="13" t="inlineStr">
        <is>
          <t>CAREER FEATURE: significators, industry mapping, strengths, growth areas, roles</t>
        </is>
      </c>
      <c r="E8" s="12" t="inlineStr">
        <is>
          <t>E16</t>
        </is>
      </c>
      <c r="F8" s="13" t="inlineStr">
        <is>
          <t>A user picks an industry and gets a coherent, astrologer-approved analysis</t>
        </is>
      </c>
    </row>
    <row r="9">
      <c r="A9" s="10" t="inlineStr">
        <is>
          <t>Build</t>
        </is>
      </c>
      <c r="B9" s="10" t="inlineStr">
        <is>
          <t>S7</t>
        </is>
      </c>
      <c r="C9" s="10" t="inlineStr">
        <is>
          <t>Wk 15-16</t>
        </is>
      </c>
      <c r="D9" s="11" t="inlineStr">
        <is>
          <t>Stripe checkout, invoicing, VAT, webhook fulfilment</t>
        </is>
      </c>
      <c r="E9" s="10" t="inlineStr">
        <is>
          <t>E08</t>
        </is>
      </c>
      <c r="F9" s="11" t="inlineStr">
        <is>
          <t>A EUR 11 test payment creates an order and issues a valid invoice</t>
        </is>
      </c>
    </row>
    <row r="10">
      <c r="A10" s="7" t="inlineStr">
        <is>
          <t>Build</t>
        </is>
      </c>
      <c r="B10" s="7" t="inlineStr">
        <is>
          <t>S8</t>
        </is>
      </c>
      <c r="C10" s="7" t="inlineStr">
        <is>
          <t>Wk 17-18</t>
        </is>
      </c>
      <c r="D10" s="8" t="inlineStr">
        <is>
          <t>Astrologer console: queue, workbench (WASM), authoring</t>
        </is>
      </c>
      <c r="E10" s="7" t="inlineStr">
        <is>
          <t>E07</t>
        </is>
      </c>
      <c r="F10" s="8" t="inlineStr">
        <is>
          <t>An astrologer can claim an order and write a report</t>
        </is>
      </c>
    </row>
    <row r="11">
      <c r="A11" s="10" t="inlineStr">
        <is>
          <t>Build</t>
        </is>
      </c>
      <c r="B11" s="10" t="inlineStr">
        <is>
          <t>S9</t>
        </is>
      </c>
      <c r="C11" s="10" t="inlineStr">
        <is>
          <t>Wk 19-20</t>
        </is>
      </c>
      <c r="D11" s="11" t="inlineStr">
        <is>
          <t>Report PDF generation, delivery, status tracking, notifications</t>
        </is>
      </c>
      <c r="E11" s="10" t="inlineStr">
        <is>
          <t>E06, E10</t>
        </is>
      </c>
      <c r="F11" s="11" t="inlineStr">
        <is>
          <t>Full happy path: pay, assign, write, deliver, read</t>
        </is>
      </c>
    </row>
    <row r="12">
      <c r="A12" s="7" t="inlineStr">
        <is>
          <t>Build</t>
        </is>
      </c>
      <c r="B12" s="7" t="inlineStr">
        <is>
          <t>S10</t>
        </is>
      </c>
      <c r="C12" s="7" t="inlineStr">
        <is>
          <t>Wk 21-22</t>
        </is>
      </c>
      <c r="D12" s="8" t="inlineStr">
        <is>
          <t>Admin console, SLA escalation, refunds, support tooling</t>
        </is>
      </c>
      <c r="E12" s="7" t="inlineStr">
        <is>
          <t>E12</t>
        </is>
      </c>
      <c r="F12" s="8" t="inlineStr">
        <is>
          <t>Support can resolve a refund and reassign an order unaided</t>
        </is>
      </c>
    </row>
    <row r="13">
      <c r="A13" s="10" t="inlineStr">
        <is>
          <t>Harden</t>
        </is>
      </c>
      <c r="B13" s="10" t="inlineStr">
        <is>
          <t>S11</t>
        </is>
      </c>
      <c r="C13" s="10" t="inlineStr">
        <is>
          <t>Wk 23-24</t>
        </is>
      </c>
      <c r="D13" s="11" t="inlineStr">
        <is>
          <t>GDPR: CMP, DSR automation, retention, legal texts, career terms restriction</t>
        </is>
      </c>
      <c r="E13" s="10" t="inlineStr">
        <is>
          <t>E11</t>
        </is>
      </c>
      <c r="F13" s="11" t="inlineStr">
        <is>
          <t>DPIA complete; erasure works end to end; career ToS reviewed by an employment lawyer</t>
        </is>
      </c>
    </row>
    <row r="14">
      <c r="A14" s="7" t="inlineStr">
        <is>
          <t>Harden</t>
        </is>
      </c>
      <c r="B14" s="7" t="inlineStr">
        <is>
          <t>S12</t>
        </is>
      </c>
      <c r="C14" s="7" t="inlineStr">
        <is>
          <t>Wk 25-26</t>
        </is>
      </c>
      <c r="D14" s="8" t="inlineStr">
        <is>
          <t>Localisation QA, accessibility, performance, penetration test</t>
        </is>
      </c>
      <c r="E14" s="7" t="inlineStr">
        <is>
          <t>E09, E14</t>
        </is>
      </c>
      <c r="F14" s="8" t="inlineStr">
        <is>
          <t>No critical or high pen-test findings open; accessibility audit passed</t>
        </is>
      </c>
    </row>
    <row r="15">
      <c r="A15" s="10" t="inlineStr">
        <is>
          <t>Launch</t>
        </is>
      </c>
      <c r="B15" s="10" t="inlineStr">
        <is>
          <t>S13</t>
        </is>
      </c>
      <c r="C15" s="10" t="inlineStr">
        <is>
          <t>Wk 27-28</t>
        </is>
      </c>
      <c r="D15" s="11" t="inlineStr">
        <is>
          <t>Closed beta with 50-100 German testers</t>
        </is>
      </c>
      <c r="E15" s="10" t="inlineStr">
        <is>
          <t>E14</t>
        </is>
      </c>
      <c r="F15" s="11" t="inlineStr">
        <is>
          <t>Crash-free above 99%; average rating 4.2+; zero SLA breaches; career tone validated</t>
        </is>
      </c>
    </row>
    <row r="16">
      <c r="A16" s="7" t="inlineStr">
        <is>
          <t>Launch</t>
        </is>
      </c>
      <c r="B16" s="7" t="inlineStr">
        <is>
          <t>S14</t>
        </is>
      </c>
      <c r="C16" s="7" t="inlineStr">
        <is>
          <t>Wk 29-30</t>
        </is>
      </c>
      <c r="D16" s="8" t="inlineStr">
        <is>
          <t>Store submission, phased rollout, launch marketing</t>
        </is>
      </c>
      <c r="E16" s="7" t="inlineStr">
        <is>
          <t>E13, E14</t>
        </is>
      </c>
      <c r="F16" s="8" t="inlineStr">
        <is>
          <t>Live in DE/AT/CH at 100% rollout with monitoring green</t>
        </is>
      </c>
    </row>
    <row r="17">
      <c r="A17" s="10" t="inlineStr">
        <is>
          <t>Post-launch</t>
        </is>
      </c>
      <c r="B17" s="10" t="inlineStr">
        <is>
          <t>R1.1</t>
        </is>
      </c>
      <c r="C17" s="10" t="inlineStr">
        <is>
          <t>Wk 31-38</t>
        </is>
      </c>
      <c r="D17" s="11" t="inlineStr">
        <is>
          <t>Industry comparison, rectification add-on, promo codes, lifecycle, attribution</t>
        </is>
      </c>
      <c r="E17" s="10" t="inlineStr">
        <is>
          <t>E03, E08, E10, E13, E16</t>
        </is>
      </c>
      <c r="F17" s="11" t="inlineStr">
        <is>
          <t>Install-to-paid conversion measured and improving</t>
        </is>
      </c>
    </row>
    <row r="18">
      <c r="A18" s="7" t="inlineStr">
        <is>
          <t>Post-launch</t>
        </is>
      </c>
      <c r="B18" s="7" t="inlineStr">
        <is>
          <t>R2</t>
        </is>
      </c>
      <c r="C18" s="7" t="inlineStr">
        <is>
          <t>Q2</t>
        </is>
      </c>
      <c r="D18" s="8" t="inlineStr">
        <is>
          <t>Kundali Milan, horoscopes, live consultations, subscription</t>
        </is>
      </c>
      <c r="E18" s="7" t="inlineStr">
        <is>
          <t>E15</t>
        </is>
      </c>
      <c r="F18" s="8" t="inlineStr">
        <is>
          <t>Second revenue line contributing over 20% of revenue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64" customWidth="1" min="3" max="3"/>
    <col width="80" customWidth="1" min="4" max="4"/>
    <col width="10" customWidth="1" min="5" max="5"/>
    <col width="12" customWidth="1" min="6" max="6"/>
    <col width="11" customWidth="1" min="7" max="7"/>
  </cols>
  <sheetData>
    <row r="1" ht="30" customHeight="1">
      <c r="A1" s="6" t="inlineStr">
        <is>
          <t>#</t>
        </is>
      </c>
      <c r="B1" s="6" t="inlineStr">
        <is>
          <t>Category</t>
        </is>
      </c>
      <c r="C1" s="6" t="inlineStr">
        <is>
          <t>Requirement</t>
        </is>
      </c>
      <c r="D1" s="6" t="inlineStr">
        <is>
          <t>Why it is required</t>
        </is>
      </c>
      <c r="E1" s="6" t="inlineStr">
        <is>
          <t>Blocking?</t>
        </is>
      </c>
      <c r="F1" s="6" t="inlineStr">
        <is>
          <t>Owner</t>
        </is>
      </c>
      <c r="G1" s="6" t="inlineStr">
        <is>
          <t>Status</t>
        </is>
      </c>
    </row>
    <row r="2">
      <c r="A2" s="7" t="n">
        <v>1</v>
      </c>
      <c r="B2" s="24" t="inlineStr">
        <is>
          <t>Licensing</t>
        </is>
      </c>
      <c r="C2" s="8" t="inlineStr">
        <is>
          <t>Written AGPL boundary decision record</t>
        </is>
      </c>
      <c r="D2" s="8" t="inlineStr">
        <is>
          <t>Defines exactly where AGPL code runs (client only) and what must be published. Get this wrong and your whole backend becomes open source.</t>
        </is>
      </c>
      <c r="E2" s="14" t="inlineStr">
        <is>
          <t>Yes</t>
        </is>
      </c>
      <c r="F2" s="7" t="inlineStr">
        <is>
          <t>Tech Lead</t>
        </is>
      </c>
      <c r="G2" s="9" t="inlineStr">
        <is>
          <t>To Do</t>
        </is>
      </c>
    </row>
    <row r="3">
      <c r="A3" s="10" t="n">
        <v>2</v>
      </c>
      <c r="B3" s="24" t="inlineStr">
        <is>
          <t>Licensing</t>
        </is>
      </c>
      <c r="C3" s="11" t="inlineStr">
        <is>
          <t>Public AGPL-3.0 repo containing the engine package (FFI bindings, WASM build, rule evaluator)</t>
        </is>
      </c>
      <c r="D3" s="11" t="inlineStr">
        <is>
          <t>This is what satisfies the AGPL obligation and lets you use the free ephemeris.</t>
        </is>
      </c>
      <c r="E3" s="17" t="inlineStr">
        <is>
          <t>Yes</t>
        </is>
      </c>
      <c r="F3" s="10" t="inlineStr">
        <is>
          <t>Tech Lead</t>
        </is>
      </c>
      <c r="G3" s="9" t="inlineStr">
        <is>
          <t>To Do</t>
        </is>
      </c>
    </row>
    <row r="4">
      <c r="A4" s="7" t="n">
        <v>3</v>
      </c>
      <c r="B4" s="24" t="inlineStr">
        <is>
          <t>Licensing</t>
        </is>
      </c>
      <c r="C4" s="8" t="inlineStr">
        <is>
          <t>Software-licensing lawyer review of the client-side boundary</t>
        </is>
      </c>
      <c r="D4" s="8" t="inlineStr">
        <is>
          <t>The one legal opinion worth paying for here. AGPL section 13 network clause is the risk.</t>
        </is>
      </c>
      <c r="E4" s="14" t="inlineStr">
        <is>
          <t>Yes</t>
        </is>
      </c>
      <c r="F4" s="7" t="inlineStr">
        <is>
          <t>Legal</t>
        </is>
      </c>
      <c r="G4" s="9" t="inlineStr">
        <is>
          <t>To Do</t>
        </is>
      </c>
    </row>
    <row r="5">
      <c r="A5" s="10" t="n">
        <v>4</v>
      </c>
      <c r="B5" s="24" t="inlineStr">
        <is>
          <t>Licensing</t>
        </is>
      </c>
      <c r="C5" s="11" t="inlineStr">
        <is>
          <t>Verified: the proprietary backend never links, bundles or calls Swiss Ephemeris</t>
        </is>
      </c>
      <c r="D5" s="11" t="inlineStr">
        <is>
          <t>If it does, the backend is a derivative work and must be published.</t>
        </is>
      </c>
      <c r="E5" s="17" t="inlineStr">
        <is>
          <t>Yes</t>
        </is>
      </c>
      <c r="F5" s="10" t="inlineStr">
        <is>
          <t>Tech Lead</t>
        </is>
      </c>
      <c r="G5" s="9" t="inlineStr">
        <is>
          <t>To Do</t>
        </is>
      </c>
    </row>
    <row r="6">
      <c r="A6" s="7" t="n">
        <v>5</v>
      </c>
      <c r="B6" s="24" t="inlineStr">
        <is>
          <t>Licensing</t>
        </is>
      </c>
      <c r="C6" s="8" t="inlineStr">
        <is>
          <t>AGPL and GeoNames notices visible in-app under About, with repo link</t>
        </is>
      </c>
      <c r="D6" s="8" t="inlineStr">
        <is>
          <t>Both licences require attribution.</t>
        </is>
      </c>
      <c r="E6" s="14" t="inlineStr">
        <is>
          <t>Yes</t>
        </is>
      </c>
      <c r="F6" s="7" t="inlineStr">
        <is>
          <t>Mobile</t>
        </is>
      </c>
      <c r="G6" s="9" t="inlineStr">
        <is>
          <t>To Do</t>
        </is>
      </c>
    </row>
    <row r="7">
      <c r="A7" s="10" t="n">
        <v>6</v>
      </c>
      <c r="B7" s="10" t="inlineStr">
        <is>
          <t>Legal entity</t>
        </is>
      </c>
      <c r="C7" s="11" t="inlineStr">
        <is>
          <t>German or EU legal entity (UG/GmbH) with USt-IdNr.</t>
        </is>
      </c>
      <c r="D7" s="11" t="inlineStr">
        <is>
          <t>Required to open Stripe, issue VAT invoices and publish a valid Impressum.</t>
        </is>
      </c>
      <c r="E7" s="17" t="inlineStr">
        <is>
          <t>Yes</t>
        </is>
      </c>
      <c r="F7" s="10" t="inlineStr">
        <is>
          <t>Founder</t>
        </is>
      </c>
      <c r="G7" s="9" t="inlineStr">
        <is>
          <t>To Do</t>
        </is>
      </c>
    </row>
    <row r="8">
      <c r="A8" s="7" t="n">
        <v>7</v>
      </c>
      <c r="B8" s="7" t="inlineStr">
        <is>
          <t>Legal entity</t>
        </is>
      </c>
      <c r="C8" s="8" t="inlineStr">
        <is>
          <t>SEPA-capable business bank account</t>
        </is>
      </c>
      <c r="D8" s="8" t="inlineStr">
        <is>
          <t>Stripe payout destination.</t>
        </is>
      </c>
      <c r="E8" s="14" t="inlineStr">
        <is>
          <t>Yes</t>
        </is>
      </c>
      <c r="F8" s="7" t="inlineStr">
        <is>
          <t>Founder</t>
        </is>
      </c>
      <c r="G8" s="9" t="inlineStr">
        <is>
          <t>To Do</t>
        </is>
      </c>
    </row>
    <row r="9">
      <c r="A9" s="10" t="n">
        <v>8</v>
      </c>
      <c r="B9" s="10" t="inlineStr">
        <is>
          <t>Legal</t>
        </is>
      </c>
      <c r="C9" s="11" t="inlineStr">
        <is>
          <t>Impressum, AGB, Datenschutzerklaerung, Widerrufsbelehrung in German</t>
        </is>
      </c>
      <c r="D9" s="11" t="inlineStr">
        <is>
          <t>DDG and BGB requirements. Missing or wrong Widerruf extends the cancellation window to 12 months + 14 days.</t>
        </is>
      </c>
      <c r="E9" s="17" t="inlineStr">
        <is>
          <t>Yes</t>
        </is>
      </c>
      <c r="F9" s="10" t="inlineStr">
        <is>
          <t>Legal</t>
        </is>
      </c>
      <c r="G9" s="9" t="inlineStr">
        <is>
          <t>To Do</t>
        </is>
      </c>
    </row>
    <row r="10">
      <c r="A10" s="7" t="n">
        <v>9</v>
      </c>
      <c r="B10" s="7" t="inlineStr">
        <is>
          <t>Legal</t>
        </is>
      </c>
      <c r="C10" s="8" t="inlineStr">
        <is>
          <t>Explicit consent to start work before the 14-day withdrawal period ends</t>
        </is>
      </c>
      <c r="D10" s="8" t="inlineStr">
        <is>
          <t>Lets you begin the evaluation immediately without refund exposure.</t>
        </is>
      </c>
      <c r="E10" s="14" t="inlineStr">
        <is>
          <t>Yes</t>
        </is>
      </c>
      <c r="F10" s="7" t="inlineStr">
        <is>
          <t>Legal</t>
        </is>
      </c>
      <c r="G10" s="9" t="inlineStr">
        <is>
          <t>To Do</t>
        </is>
      </c>
    </row>
    <row r="11">
      <c r="A11" s="10" t="n">
        <v>10</v>
      </c>
      <c r="B11" s="10" t="inlineStr">
        <is>
          <t>Legal</t>
        </is>
      </c>
      <c r="C11" s="11" t="inlineStr">
        <is>
          <t>Freelancer contracts plus AVV with every astrologer</t>
        </is>
      </c>
      <c r="D11" s="11" t="inlineStr">
        <is>
          <t>Astrologers process personal data; GDPR Article 28 requires a written agreement.</t>
        </is>
      </c>
      <c r="E11" s="17" t="inlineStr">
        <is>
          <t>Yes</t>
        </is>
      </c>
      <c r="F11" s="10" t="inlineStr">
        <is>
          <t>Legal</t>
        </is>
      </c>
      <c r="G11" s="9" t="inlineStr">
        <is>
          <t>To Do</t>
        </is>
      </c>
    </row>
    <row r="12">
      <c r="A12" s="7" t="n">
        <v>11</v>
      </c>
      <c r="B12" s="7" t="inlineStr">
        <is>
          <t>Legal</t>
        </is>
      </c>
      <c r="C12" s="8" t="inlineStr">
        <is>
          <t>CAREER FEATURE: terms of service restricting it to personal use only</t>
        </is>
      </c>
      <c r="D12" s="8" t="inlineStr">
        <is>
          <t>Keeps you out of EU AI Act high-risk employment scope, GDPR Article 22 and AGG exposure. No B2B API, no bulk analysis, no candidate comparison.</t>
        </is>
      </c>
      <c r="E12" s="14" t="inlineStr">
        <is>
          <t>Yes</t>
        </is>
      </c>
      <c r="F12" s="7" t="inlineStr">
        <is>
          <t>Legal</t>
        </is>
      </c>
      <c r="G12" s="9" t="inlineStr">
        <is>
          <t>To Do</t>
        </is>
      </c>
    </row>
    <row r="13">
      <c r="A13" s="10" t="n">
        <v>12</v>
      </c>
      <c r="B13" s="10" t="inlineStr">
        <is>
          <t>Legal</t>
        </is>
      </c>
      <c r="C13" s="11" t="inlineStr">
        <is>
          <t>Career content reviewed for non-deterministic, non-fatalistic language</t>
        </is>
      </c>
      <c r="D13" s="11" t="inlineStr">
        <is>
          <t>Consumer protection and basic responsibility. No claims about earnings or hiring outcomes.</t>
        </is>
      </c>
      <c r="E13" s="17" t="inlineStr">
        <is>
          <t>Yes</t>
        </is>
      </c>
      <c r="F13" s="10" t="inlineStr">
        <is>
          <t>Content</t>
        </is>
      </c>
      <c r="G13" s="9" t="inlineStr">
        <is>
          <t>To Do</t>
        </is>
      </c>
    </row>
    <row r="14">
      <c r="A14" s="7" t="n">
        <v>13</v>
      </c>
      <c r="B14" s="7" t="inlineStr">
        <is>
          <t>Legal</t>
        </is>
      </c>
      <c r="C14" s="8" t="inlineStr">
        <is>
          <t>Entertainment and self-reflection disclaimer on app, career page, reports and store listing</t>
        </is>
      </c>
      <c r="D14" s="8" t="inlineStr">
        <is>
          <t>Apple and Google fortune-telling rules; limits liability under German consumer law.</t>
        </is>
      </c>
      <c r="E14" s="14" t="inlineStr">
        <is>
          <t>Yes</t>
        </is>
      </c>
      <c r="F14" s="7" t="inlineStr">
        <is>
          <t>Legal</t>
        </is>
      </c>
      <c r="G14" s="9" t="inlineStr">
        <is>
          <t>To Do</t>
        </is>
      </c>
    </row>
    <row r="15">
      <c r="A15" s="10" t="n">
        <v>14</v>
      </c>
      <c r="B15" s="10" t="inlineStr">
        <is>
          <t>Infrastructure</t>
        </is>
      </c>
      <c r="C15" s="11" t="inlineStr">
        <is>
          <t>EU-region cloud (Frankfurt) with dev/staging/prod defined in IaC</t>
        </is>
      </c>
      <c r="D15" s="11" t="inlineStr">
        <is>
          <t>GDPR data residency expectation.</t>
        </is>
      </c>
      <c r="E15" s="17" t="inlineStr">
        <is>
          <t>Yes</t>
        </is>
      </c>
      <c r="F15" s="10" t="inlineStr">
        <is>
          <t>DevOps</t>
        </is>
      </c>
      <c r="G15" s="9" t="inlineStr">
        <is>
          <t>To Do</t>
        </is>
      </c>
    </row>
    <row r="16">
      <c r="A16" s="7" t="n">
        <v>15</v>
      </c>
      <c r="B16" s="7" t="inlineStr">
        <is>
          <t>Infrastructure</t>
        </is>
      </c>
      <c r="C16" s="8" t="inlineStr">
        <is>
          <t>Managed PostgreSQL with point-in-time recovery and a tested restore</t>
        </is>
      </c>
      <c r="D16" s="8" t="inlineStr">
        <is>
          <t>Orders and birth data are the crown jewels.</t>
        </is>
      </c>
      <c r="E16" s="14" t="inlineStr">
        <is>
          <t>Yes</t>
        </is>
      </c>
      <c r="F16" s="7" t="inlineStr">
        <is>
          <t>DevOps</t>
        </is>
      </c>
      <c r="G16" s="9" t="inlineStr">
        <is>
          <t>To Do</t>
        </is>
      </c>
    </row>
    <row r="17">
      <c r="A17" s="10" t="n">
        <v>16</v>
      </c>
      <c r="B17" s="10" t="inlineStr">
        <is>
          <t>Infrastructure</t>
        </is>
      </c>
      <c r="C17" s="11" t="inlineStr">
        <is>
          <t>Object storage for report PDFs with signed expiring URLs</t>
        </is>
      </c>
      <c r="D17" s="11" t="inlineStr">
        <is>
          <t>Reports must not be publicly enumerable.</t>
        </is>
      </c>
      <c r="E17" s="17" t="inlineStr">
        <is>
          <t>Yes</t>
        </is>
      </c>
      <c r="F17" s="10" t="inlineStr">
        <is>
          <t>DevOps</t>
        </is>
      </c>
      <c r="G17" s="9" t="inlineStr">
        <is>
          <t>To Do</t>
        </is>
      </c>
    </row>
    <row r="18">
      <c r="A18" s="7" t="n">
        <v>17</v>
      </c>
      <c r="B18" s="7" t="inlineStr">
        <is>
          <t>Infrastructure</t>
        </is>
      </c>
      <c r="C18" s="8" t="inlineStr">
        <is>
          <t>Job queue and workers for PDF rendering, email and push</t>
        </is>
      </c>
      <c r="D18" s="8" t="inlineStr">
        <is>
          <t>Long-running work must not block API requests.</t>
        </is>
      </c>
      <c r="E18" s="14" t="inlineStr">
        <is>
          <t>Yes</t>
        </is>
      </c>
      <c r="F18" s="7" t="inlineStr">
        <is>
          <t>Backend</t>
        </is>
      </c>
      <c r="G18" s="9" t="inlineStr">
        <is>
          <t>To Do</t>
        </is>
      </c>
    </row>
    <row r="19">
      <c r="A19" s="10" t="n">
        <v>18</v>
      </c>
      <c r="B19" s="10" t="inlineStr">
        <is>
          <t>Infrastructure</t>
        </is>
      </c>
      <c r="C19" s="11" t="inlineStr">
        <is>
          <t>Secrets manager and KMS with rotation</t>
        </is>
      </c>
      <c r="D19" s="11" t="inlineStr">
        <is>
          <t>No credentials in the repo - especially important now that a repo is public.</t>
        </is>
      </c>
      <c r="E19" s="17" t="inlineStr">
        <is>
          <t>Yes</t>
        </is>
      </c>
      <c r="F19" s="10" t="inlineStr">
        <is>
          <t>Security</t>
        </is>
      </c>
      <c r="G19" s="9" t="inlineStr">
        <is>
          <t>To Do</t>
        </is>
      </c>
    </row>
    <row r="20">
      <c r="A20" s="7" t="n">
        <v>19</v>
      </c>
      <c r="B20" s="7" t="inlineStr">
        <is>
          <t>Infrastructure</t>
        </is>
      </c>
      <c r="C20" s="8" t="inlineStr">
        <is>
          <t>CDN, WAF and rate limiting in front of the API</t>
        </is>
      </c>
      <c r="D20" s="8" t="inlineStr">
        <is>
          <t>Abuse protection for a paid endpoint.</t>
        </is>
      </c>
      <c r="E20" s="14" t="inlineStr">
        <is>
          <t>Yes</t>
        </is>
      </c>
      <c r="F20" s="7" t="inlineStr">
        <is>
          <t>DevOps</t>
        </is>
      </c>
      <c r="G20" s="9" t="inlineStr">
        <is>
          <t>To Do</t>
        </is>
      </c>
    </row>
    <row r="21">
      <c r="A21" s="10" t="n">
        <v>20</v>
      </c>
      <c r="B21" s="10" t="inlineStr">
        <is>
          <t>Engine</t>
        </is>
      </c>
      <c r="C21" s="11" t="inlineStr">
        <is>
          <t>Swiss Ephemeris built for iOS arm64 and Android arm64/armv7/x86_64</t>
        </is>
      </c>
      <c r="D21" s="11" t="inlineStr">
        <is>
          <t>A missing ABI means silent crashes on a slice of devices.</t>
        </is>
      </c>
      <c r="E21" s="17" t="inlineStr">
        <is>
          <t>Yes</t>
        </is>
      </c>
      <c r="F21" s="10" t="inlineStr">
        <is>
          <t>Mobile</t>
        </is>
      </c>
      <c r="G21" s="9" t="inlineStr">
        <is>
          <t>To Do</t>
        </is>
      </c>
    </row>
    <row r="22">
      <c r="A22" s="7" t="n">
        <v>21</v>
      </c>
      <c r="B22" s="7" t="inlineStr">
        <is>
          <t>Engine</t>
        </is>
      </c>
      <c r="C22" s="8" t="inlineStr">
        <is>
          <t>WASM build for the astrologer console producing identical output to FFI</t>
        </is>
      </c>
      <c r="D22" s="8" t="inlineStr">
        <is>
          <t>Shared test vectors must match exactly, or reports disagree with the app.</t>
        </is>
      </c>
      <c r="E22" s="14" t="inlineStr">
        <is>
          <t>Yes</t>
        </is>
      </c>
      <c r="F22" s="7" t="inlineStr">
        <is>
          <t>Backend</t>
        </is>
      </c>
      <c r="G22" s="9" t="inlineStr">
        <is>
          <t>To Do</t>
        </is>
      </c>
    </row>
    <row r="23">
      <c r="A23" s="10" t="n">
        <v>22</v>
      </c>
      <c r="B23" s="10" t="inlineStr">
        <is>
          <t>Engine</t>
        </is>
      </c>
      <c r="C23" s="11" t="inlineStr">
        <is>
          <t>Golden-master accuracy suite (50+ births) passing in CI</t>
        </is>
      </c>
      <c r="D23" s="11" t="inlineStr">
        <is>
          <t>One wrong ayanamsa or DST offset destroys credibility with a Vedic audience.</t>
        </is>
      </c>
      <c r="E23" s="17" t="inlineStr">
        <is>
          <t>Yes</t>
        </is>
      </c>
      <c r="F23" s="10" t="inlineStr">
        <is>
          <t>QA</t>
        </is>
      </c>
      <c r="G23" s="9" t="inlineStr">
        <is>
          <t>To Do</t>
        </is>
      </c>
    </row>
    <row r="24">
      <c r="A24" s="7" t="n">
        <v>23</v>
      </c>
      <c r="B24" s="7" t="inlineStr">
        <is>
          <t>Engine</t>
        </is>
      </c>
      <c r="C24" s="8" t="inlineStr">
        <is>
          <t>Timezone/DST resolution verified across German 1945-1979 history and India pre-1955</t>
        </is>
      </c>
      <c r="D24" s="8" t="inlineStr">
        <is>
          <t>The most common silent failure in astrology apps.</t>
        </is>
      </c>
      <c r="E24" s="14" t="inlineStr">
        <is>
          <t>Yes</t>
        </is>
      </c>
      <c r="F24" s="7" t="inlineStr">
        <is>
          <t>Backend</t>
        </is>
      </c>
      <c r="G24" s="9" t="inlineStr">
        <is>
          <t>To Do</t>
        </is>
      </c>
    </row>
    <row r="25">
      <c r="A25" s="10" t="n">
        <v>24</v>
      </c>
      <c r="B25" s="10" t="inlineStr">
        <is>
          <t>Engine</t>
        </is>
      </c>
      <c r="C25" s="11" t="inlineStr">
        <is>
          <t>Industry-to-Jyotish mapping rule set signed off by the astrology consultant</t>
        </is>
      </c>
      <c r="D25" s="11" t="inlineStr">
        <is>
          <t>The career feature's credibility rests entirely on this.</t>
        </is>
      </c>
      <c r="E25" s="17" t="inlineStr">
        <is>
          <t>Yes</t>
        </is>
      </c>
      <c r="F25" s="10" t="inlineStr">
        <is>
          <t>Content</t>
        </is>
      </c>
      <c r="G25" s="9" t="inlineStr">
        <is>
          <t>To Do</t>
        </is>
      </c>
    </row>
    <row r="26">
      <c r="A26" s="7" t="n">
        <v>25</v>
      </c>
      <c r="B26" s="7" t="inlineStr">
        <is>
          <t>Payments</t>
        </is>
      </c>
      <c r="C26" s="8" t="inlineStr">
        <is>
          <t>Stripe live account with SEPA, Klarna, PayPal, cards, Apple/Google Pay</t>
        </is>
      </c>
      <c r="D26" s="8" t="inlineStr">
        <is>
          <t>German buyers strongly prefer PayPal, SEPA and Klarna over cards.</t>
        </is>
      </c>
      <c r="E26" s="14" t="inlineStr">
        <is>
          <t>Yes</t>
        </is>
      </c>
      <c r="F26" s="7" t="inlineStr">
        <is>
          <t>Finance</t>
        </is>
      </c>
      <c r="G26" s="9" t="inlineStr">
        <is>
          <t>To Do</t>
        </is>
      </c>
    </row>
    <row r="27">
      <c r="A27" s="10" t="n">
        <v>26</v>
      </c>
      <c r="B27" s="10" t="inlineStr">
        <is>
          <t>Payments</t>
        </is>
      </c>
      <c r="C27" s="11" t="inlineStr">
        <is>
          <t>Apple Pay domain verification and Google Pay merchant setup</t>
        </is>
      </c>
      <c r="D27" s="11" t="inlineStr">
        <is>
          <t>Required before those buttons render.</t>
        </is>
      </c>
      <c r="E27" s="17" t="inlineStr">
        <is>
          <t>Yes</t>
        </is>
      </c>
      <c r="F27" s="10" t="inlineStr">
        <is>
          <t>Mobile</t>
        </is>
      </c>
      <c r="G27" s="9" t="inlineStr">
        <is>
          <t>To Do</t>
        </is>
      </c>
    </row>
    <row r="28">
      <c r="A28" s="7" t="n">
        <v>27</v>
      </c>
      <c r="B28" s="7" t="inlineStr">
        <is>
          <t>Payments</t>
        </is>
      </c>
      <c r="C28" s="8" t="inlineStr">
        <is>
          <t>Gapless invoice numbering with a 10-year GoBD-compliant archive</t>
        </is>
      </c>
      <c r="D28" s="8" t="inlineStr">
        <is>
          <t>German bookkeeping law.</t>
        </is>
      </c>
      <c r="E28" s="14" t="inlineStr">
        <is>
          <t>Yes</t>
        </is>
      </c>
      <c r="F28" s="7" t="inlineStr">
        <is>
          <t>Finance</t>
        </is>
      </c>
      <c r="G28" s="9" t="inlineStr">
        <is>
          <t>To Do</t>
        </is>
      </c>
    </row>
    <row r="29">
      <c r="A29" s="10" t="n">
        <v>28</v>
      </c>
      <c r="B29" s="10" t="inlineStr">
        <is>
          <t>Payments</t>
        </is>
      </c>
      <c r="C29" s="11" t="inlineStr">
        <is>
          <t>VAT determination and OSS-ready quarterly export</t>
        </is>
      </c>
      <c r="D29" s="11" t="inlineStr">
        <is>
          <t>19% DE VAT; cross-border EU B2C over EUR 10,000 requires destination-country VAT via OSS.</t>
        </is>
      </c>
      <c r="E29" s="17" t="inlineStr">
        <is>
          <t>Yes</t>
        </is>
      </c>
      <c r="F29" s="10" t="inlineStr">
        <is>
          <t>Finance</t>
        </is>
      </c>
      <c r="G29" s="9" t="inlineStr">
        <is>
          <t>To Do</t>
        </is>
      </c>
    </row>
    <row r="30">
      <c r="A30" s="7" t="n">
        <v>29</v>
      </c>
      <c r="B30" s="7" t="inlineStr">
        <is>
          <t>Payments</t>
        </is>
      </c>
      <c r="C30" s="8" t="inlineStr">
        <is>
          <t>Stripe Connect or SEPA batch for astrologer payouts</t>
        </is>
      </c>
      <c r="D30" s="8" t="inlineStr">
        <is>
          <t>Supply side must get paid reliably.</t>
        </is>
      </c>
      <c r="E30" s="14" t="inlineStr">
        <is>
          <t>Yes</t>
        </is>
      </c>
      <c r="F30" s="7" t="inlineStr">
        <is>
          <t>Finance</t>
        </is>
      </c>
      <c r="G30" s="9" t="inlineStr">
        <is>
          <t>To Do</t>
        </is>
      </c>
    </row>
    <row r="31">
      <c r="A31" s="10" t="n">
        <v>30</v>
      </c>
      <c r="B31" s="10" t="inlineStr">
        <is>
          <t>App stores</t>
        </is>
      </c>
      <c r="C31" s="11" t="inlineStr">
        <is>
          <t>Apple Developer Program and Google Play Console</t>
        </is>
      </c>
      <c r="D31" s="11" t="inlineStr">
        <is>
          <t>Prerequisite for distribution.</t>
        </is>
      </c>
      <c r="E31" s="17" t="inlineStr">
        <is>
          <t>Yes</t>
        </is>
      </c>
      <c r="F31" s="10" t="inlineStr">
        <is>
          <t>Mobile</t>
        </is>
      </c>
      <c r="G31" s="9" t="inlineStr">
        <is>
          <t>To Do</t>
        </is>
      </c>
    </row>
    <row r="32">
      <c r="A32" s="7" t="n">
        <v>31</v>
      </c>
      <c r="B32" s="7" t="inlineStr">
        <is>
          <t>App stores</t>
        </is>
      </c>
      <c r="C32" s="8" t="inlineStr">
        <is>
          <t>Privacy nutrition labels, Play Data Safety form, 12+ age rating</t>
        </is>
      </c>
      <c r="D32" s="8" t="inlineStr">
        <is>
          <t>Submission cannot proceed without them.</t>
        </is>
      </c>
      <c r="E32" s="14" t="inlineStr">
        <is>
          <t>Yes</t>
        </is>
      </c>
      <c r="F32" s="7" t="inlineStr">
        <is>
          <t>Mobile</t>
        </is>
      </c>
      <c r="G32" s="9" t="inlineStr">
        <is>
          <t>To Do</t>
        </is>
      </c>
    </row>
    <row r="33">
      <c r="A33" s="10" t="n">
        <v>32</v>
      </c>
      <c r="B33" s="10" t="inlineStr">
        <is>
          <t>App stores</t>
        </is>
      </c>
      <c r="C33" s="11" t="inlineStr">
        <is>
          <t>DSA trader status declaration</t>
        </is>
      </c>
      <c r="D33" s="11" t="inlineStr">
        <is>
          <t>EU DSA requires verified trader identity - you are now selling, so this applies.</t>
        </is>
      </c>
      <c r="E33" s="17" t="inlineStr">
        <is>
          <t>Yes</t>
        </is>
      </c>
      <c r="F33" s="10" t="inlineStr">
        <is>
          <t>Founder</t>
        </is>
      </c>
      <c r="G33" s="9" t="inlineStr">
        <is>
          <t>To Do</t>
        </is>
      </c>
    </row>
    <row r="34">
      <c r="A34" s="7" t="n">
        <v>33</v>
      </c>
      <c r="B34" s="7" t="inlineStr">
        <is>
          <t>App stores</t>
        </is>
      </c>
      <c r="C34" s="8" t="inlineStr">
        <is>
          <t>Apple Guideline 4.3 differentiation package in reviewer notes</t>
        </is>
      </c>
      <c r="D34" s="8" t="inlineStr">
        <is>
          <t>Apple rejects generic astrology apps. Lead with: human expert marketplace, career fit feature, German-language Vedic depth, open-source engine.</t>
        </is>
      </c>
      <c r="E34" s="14" t="inlineStr">
        <is>
          <t>Yes</t>
        </is>
      </c>
      <c r="F34" s="7" t="inlineStr">
        <is>
          <t>Product</t>
        </is>
      </c>
      <c r="G34" s="9" t="inlineStr">
        <is>
          <t>To Do</t>
        </is>
      </c>
    </row>
    <row r="35">
      <c r="A35" s="10" t="n">
        <v>34</v>
      </c>
      <c r="B35" s="10" t="inlineStr">
        <is>
          <t>Privacy</t>
        </is>
      </c>
      <c r="C35" s="11" t="inlineStr">
        <is>
          <t>Consent management platform firing before any analytics SDK</t>
        </is>
      </c>
      <c r="D35" s="11" t="inlineStr">
        <is>
          <t>TTDSG and GDPR; reject-all must be as easy as accept-all.</t>
        </is>
      </c>
      <c r="E35" s="17" t="inlineStr">
        <is>
          <t>Yes</t>
        </is>
      </c>
      <c r="F35" s="10" t="inlineStr">
        <is>
          <t>Legal</t>
        </is>
      </c>
      <c r="G35" s="9" t="inlineStr">
        <is>
          <t>To Do</t>
        </is>
      </c>
    </row>
    <row r="36">
      <c r="A36" s="7" t="n">
        <v>35</v>
      </c>
      <c r="B36" s="7" t="inlineStr">
        <is>
          <t>Privacy</t>
        </is>
      </c>
      <c r="C36" s="8" t="inlineStr">
        <is>
          <t>Article 30 record of processing plus DPIA</t>
        </is>
      </c>
      <c r="D36" s="8" t="inlineStr">
        <is>
          <t>Birth data, career profiling and health-adjacent questions together warrant a DPIA.</t>
        </is>
      </c>
      <c r="E36" s="14" t="inlineStr">
        <is>
          <t>Yes</t>
        </is>
      </c>
      <c r="F36" s="7" t="inlineStr">
        <is>
          <t>DPO</t>
        </is>
      </c>
      <c r="G36" s="9" t="inlineStr">
        <is>
          <t>To Do</t>
        </is>
      </c>
    </row>
    <row r="37">
      <c r="A37" s="10" t="n">
        <v>36</v>
      </c>
      <c r="B37" s="10" t="inlineStr">
        <is>
          <t>Privacy</t>
        </is>
      </c>
      <c r="C37" s="11" t="inlineStr">
        <is>
          <t>Automated data export and erasure pipeline, plus in-app account deletion</t>
        </is>
      </c>
      <c r="D37" s="11" t="inlineStr">
        <is>
          <t>GDPR Articles 15 and 17; Apple 5.1.1(v).</t>
        </is>
      </c>
      <c r="E37" s="17" t="inlineStr">
        <is>
          <t>Yes</t>
        </is>
      </c>
      <c r="F37" s="10" t="inlineStr">
        <is>
          <t>Backend</t>
        </is>
      </c>
      <c r="G37" s="9" t="inlineStr">
        <is>
          <t>To Do</t>
        </is>
      </c>
    </row>
    <row r="38">
      <c r="A38" s="7" t="n">
        <v>37</v>
      </c>
      <c r="B38" s="7" t="inlineStr">
        <is>
          <t>Privacy</t>
        </is>
      </c>
      <c r="C38" s="8" t="inlineStr">
        <is>
          <t>Field-level encryption of birth data with access logging</t>
        </is>
      </c>
      <c r="D38" s="8" t="inlineStr">
        <is>
          <t>Breach containment and demonstrable Article 32 security.</t>
        </is>
      </c>
      <c r="E38" s="14" t="inlineStr">
        <is>
          <t>Yes</t>
        </is>
      </c>
      <c r="F38" s="7" t="inlineStr">
        <is>
          <t>Security</t>
        </is>
      </c>
      <c r="G38" s="9" t="inlineStr">
        <is>
          <t>To Do</t>
        </is>
      </c>
    </row>
    <row r="39">
      <c r="A39" s="10" t="n">
        <v>38</v>
      </c>
      <c r="B39" s="10" t="inlineStr">
        <is>
          <t>Privacy</t>
        </is>
      </c>
      <c r="C39" s="11" t="inlineStr">
        <is>
          <t>Signed DPAs with Stripe, cloud, CMP, analytics, email and the LLM vendor</t>
        </is>
      </c>
      <c r="D39" s="11" t="inlineStr">
        <is>
          <t>GDPR Article 28 processor chain.</t>
        </is>
      </c>
      <c r="E39" s="17" t="inlineStr">
        <is>
          <t>Yes</t>
        </is>
      </c>
      <c r="F39" s="10" t="inlineStr">
        <is>
          <t>Legal</t>
        </is>
      </c>
      <c r="G39" s="9" t="inlineStr">
        <is>
          <t>To Do</t>
        </is>
      </c>
    </row>
    <row r="40">
      <c r="A40" s="7" t="n">
        <v>39</v>
      </c>
      <c r="B40" s="7" t="inlineStr">
        <is>
          <t>Quality</t>
        </is>
      </c>
      <c r="C40" s="8" t="inlineStr">
        <is>
          <t>Nightly end-to-end test of the paid path on real devices</t>
        </is>
      </c>
      <c r="D40" s="8" t="inlineStr">
        <is>
          <t>Payment regressions are revenue-fatal.</t>
        </is>
      </c>
      <c r="E40" s="14" t="inlineStr">
        <is>
          <t>Yes</t>
        </is>
      </c>
      <c r="F40" s="7" t="inlineStr">
        <is>
          <t>QA</t>
        </is>
      </c>
      <c r="G40" s="9" t="inlineStr">
        <is>
          <t>To Do</t>
        </is>
      </c>
    </row>
    <row r="41">
      <c r="A41" s="10" t="n">
        <v>40</v>
      </c>
      <c r="B41" s="10" t="inlineStr">
        <is>
          <t>Quality</t>
        </is>
      </c>
      <c r="C41" s="11" t="inlineStr">
        <is>
          <t>External penetration test with all critical and high findings closed</t>
        </is>
      </c>
      <c r="D41" s="11" t="inlineStr">
        <is>
          <t>You handle payments and sensitive personal data.</t>
        </is>
      </c>
      <c r="E41" s="17" t="inlineStr">
        <is>
          <t>Yes</t>
        </is>
      </c>
      <c r="F41" s="10" t="inlineStr">
        <is>
          <t>Security</t>
        </is>
      </c>
      <c r="G41" s="9" t="inlineStr">
        <is>
          <t>To Do</t>
        </is>
      </c>
    </row>
    <row r="42">
      <c r="A42" s="7" t="n">
        <v>41</v>
      </c>
      <c r="B42" s="7" t="inlineStr">
        <is>
          <t>Quality</t>
        </is>
      </c>
      <c r="C42" s="8" t="inlineStr">
        <is>
          <t>Accessibility audit against EN 301 549 and BFSG</t>
        </is>
      </c>
      <c r="D42" s="8" t="inlineStr">
        <is>
          <t>German accessibility law applies to consumer digital services.</t>
        </is>
      </c>
      <c r="E42" s="14" t="inlineStr">
        <is>
          <t>Yes</t>
        </is>
      </c>
      <c r="F42" s="7" t="inlineStr">
        <is>
          <t>Mobile</t>
        </is>
      </c>
      <c r="G42" s="9" t="inlineStr">
        <is>
          <t>To Do</t>
        </is>
      </c>
    </row>
    <row r="43">
      <c r="A43" s="10" t="n">
        <v>42</v>
      </c>
      <c r="B43" s="10" t="inlineStr">
        <is>
          <t>Operations</t>
        </is>
      </c>
      <c r="C43" s="11" t="inlineStr">
        <is>
          <t>Observability, on-call rota and incident runbooks</t>
        </is>
      </c>
      <c r="D43" s="11" t="inlineStr">
        <is>
          <t>You promise a 72h SLA; you need to know when it is at risk.</t>
        </is>
      </c>
      <c r="E43" s="17" t="inlineStr">
        <is>
          <t>Yes</t>
        </is>
      </c>
      <c r="F43" s="10" t="inlineStr">
        <is>
          <t>DevOps</t>
        </is>
      </c>
      <c r="G43" s="9" t="inlineStr">
        <is>
          <t>To Do</t>
        </is>
      </c>
    </row>
    <row r="44">
      <c r="A44" s="7" t="n">
        <v>43</v>
      </c>
      <c r="B44" s="7" t="inlineStr">
        <is>
          <t>Operations</t>
        </is>
      </c>
      <c r="C44" s="8" t="inlineStr">
        <is>
          <t>GDPR 72-hour breach notification procedure documented</t>
        </is>
      </c>
      <c r="D44" s="8" t="inlineStr">
        <is>
          <t>The legal clock starts the moment you become aware.</t>
        </is>
      </c>
      <c r="E44" s="14" t="inlineStr">
        <is>
          <t>Yes</t>
        </is>
      </c>
      <c r="F44" s="7" t="inlineStr">
        <is>
          <t>Ops</t>
        </is>
      </c>
      <c r="G44" s="9" t="inlineStr">
        <is>
          <t>To Do</t>
        </is>
      </c>
    </row>
    <row r="45">
      <c r="A45" s="10" t="n">
        <v>44</v>
      </c>
      <c r="B45" s="10" t="inlineStr">
        <is>
          <t>Operations</t>
        </is>
      </c>
      <c r="C45" s="11" t="inlineStr">
        <is>
          <t>German-language support with a 24h first-response SLA</t>
        </is>
      </c>
      <c r="D45" s="11" t="inlineStr">
        <is>
          <t>German consumers expect native-language support.</t>
        </is>
      </c>
      <c r="E45" s="17" t="inlineStr">
        <is>
          <t>Yes</t>
        </is>
      </c>
      <c r="F45" s="10" t="inlineStr">
        <is>
          <t>Ops</t>
        </is>
      </c>
      <c r="G45" s="9" t="inlineStr">
        <is>
          <t>To Do</t>
        </is>
      </c>
    </row>
    <row r="46">
      <c r="A46" s="7" t="n">
        <v>45</v>
      </c>
      <c r="B46" s="7" t="inlineStr">
        <is>
          <t>Operations</t>
        </is>
      </c>
      <c r="C46" s="8" t="inlineStr">
        <is>
          <t>5-8 vetted astrologers under contract before launch</t>
        </is>
      </c>
      <c r="D46" s="8" t="inlineStr">
        <is>
          <t>Below this the 72h SLA breaks on your first marketing spike.</t>
        </is>
      </c>
      <c r="E46" s="14" t="inlineStr">
        <is>
          <t>Yes</t>
        </is>
      </c>
      <c r="F46" s="7" t="inlineStr">
        <is>
          <t>Ops</t>
        </is>
      </c>
      <c r="G46" s="9" t="inlineStr">
        <is>
          <t>To Do</t>
        </is>
      </c>
    </row>
    <row r="47">
      <c r="A47" s="10" t="n">
        <v>46</v>
      </c>
      <c r="B47" s="10" t="inlineStr">
        <is>
          <t>Operations</t>
        </is>
      </c>
      <c r="C47" s="11" t="inlineStr">
        <is>
          <t>Report style guide and QA rubric</t>
        </is>
      </c>
      <c r="D47" s="11" t="inlineStr">
        <is>
          <t>Consistency is what makes EUR 11 feel fair.</t>
        </is>
      </c>
      <c r="E47" s="17" t="inlineStr">
        <is>
          <t>Yes</t>
        </is>
      </c>
      <c r="F47" s="10" t="inlineStr">
        <is>
          <t>Content</t>
        </is>
      </c>
      <c r="G47" s="9" t="inlineStr">
        <is>
          <t>To Do</t>
        </is>
      </c>
    </row>
    <row r="48">
      <c r="A48" s="7" t="n">
        <v>47</v>
      </c>
      <c r="B48" s="7" t="inlineStr">
        <is>
          <t>Growth</t>
        </is>
      </c>
      <c r="C48" s="8" t="inlineStr">
        <is>
          <t>German ASO with the career feature front and centre in screenshots</t>
        </is>
      </c>
      <c r="D48" s="8" t="inlineStr">
        <is>
          <t>Career is what people search for. It is your best conversion asset.</t>
        </is>
      </c>
      <c r="E48" s="15" t="inlineStr">
        <is>
          <t>No</t>
        </is>
      </c>
      <c r="F48" s="7" t="inlineStr">
        <is>
          <t>Growth</t>
        </is>
      </c>
      <c r="G48" s="9" t="inlineStr">
        <is>
          <t>To Do</t>
        </is>
      </c>
    </row>
    <row r="49">
      <c r="A49" s="10" t="n">
        <v>48</v>
      </c>
      <c r="B49" s="10" t="inlineStr">
        <is>
          <t>Growth</t>
        </is>
      </c>
      <c r="C49" s="11" t="inlineStr">
        <is>
          <t>Funnel instrumented including the career page as a distinct step</t>
        </is>
      </c>
      <c r="D49" s="11" t="inlineStr">
        <is>
          <t>You cannot optimise what you cannot see.</t>
        </is>
      </c>
      <c r="E49" s="18" t="inlineStr">
        <is>
          <t>No</t>
        </is>
      </c>
      <c r="F49" s="10" t="inlineStr">
        <is>
          <t>Growth</t>
        </is>
      </c>
      <c r="G49" s="9" t="inlineStr">
        <is>
          <t>To Do</t>
        </is>
      </c>
    </row>
    <row r="50">
      <c r="A50" s="7" t="n">
        <v>49</v>
      </c>
      <c r="B50" s="7" t="inlineStr">
        <is>
          <t>Growth</t>
        </is>
      </c>
      <c r="C50" s="8" t="inlineStr">
        <is>
          <t>Feature flags with a kill switch on the paid flow</t>
        </is>
      </c>
      <c r="D50" s="8" t="inlineStr">
        <is>
          <t>Lets you stop taking money instantly if fulfilment breaks.</t>
        </is>
      </c>
      <c r="E50" s="14" t="inlineStr">
        <is>
          <t>Yes</t>
        </is>
      </c>
      <c r="F50" s="7" t="inlineStr">
        <is>
          <t>Tech Lead</t>
        </is>
      </c>
      <c r="G50" s="9" t="inlineStr">
        <is>
          <t>To Do</t>
        </is>
      </c>
    </row>
  </sheetData>
  <autoFilter ref="A1:G50"/>
  <dataValidations count="1">
    <dataValidation sqref="G2:G50" showDropDown="0" showInputMessage="0" showErrorMessage="0" allowBlank="1" type="list">
      <formula1>"To Do,In Progress,Done,N/A"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38" customWidth="1" min="3" max="3"/>
    <col width="32" customWidth="1" min="4" max="4"/>
    <col width="14" customWidth="1" min="5" max="5"/>
    <col width="14" customWidth="1" min="6" max="6"/>
    <col width="66" customWidth="1" min="7" max="7"/>
  </cols>
  <sheetData>
    <row r="1" ht="30" customHeight="1">
      <c r="A1" s="6" t="inlineStr">
        <is>
          <t>Category</t>
        </is>
      </c>
      <c r="B1" s="6" t="inlineStr">
        <is>
          <t>Vendor / Item</t>
        </is>
      </c>
      <c r="C1" s="6" t="inlineStr">
        <is>
          <t>Purpose</t>
        </is>
      </c>
      <c r="D1" s="6" t="inlineStr">
        <is>
          <t>Pricing basis</t>
        </is>
      </c>
      <c r="E1" s="6" t="inlineStr">
        <is>
          <t>One-off (EUR)</t>
        </is>
      </c>
      <c r="F1" s="6" t="inlineStr">
        <is>
          <t>Monthly (EUR)</t>
        </is>
      </c>
      <c r="G1" s="6" t="inlineStr">
        <is>
          <t>Notes</t>
        </is>
      </c>
    </row>
    <row r="2">
      <c r="A2" s="7" t="inlineStr">
        <is>
          <t>Engine</t>
        </is>
      </c>
      <c r="B2" s="7" t="inlineStr">
        <is>
          <t>Swiss Ephemeris (free AGPL edition)</t>
        </is>
      </c>
      <c r="C2" s="8" t="inlineStr">
        <is>
          <t>Astronomical calculations</t>
        </is>
      </c>
      <c r="D2" s="8" t="inlineStr">
        <is>
          <t>Free</t>
        </is>
      </c>
      <c r="E2" s="25" t="n">
        <v>0</v>
      </c>
      <c r="F2" s="25" t="n">
        <v>0</v>
      </c>
      <c r="G2" s="8" t="inlineStr">
        <is>
          <t>EUR 0. Trade-off: the engine package repo must be public. Professional licence would have been CHF 750.</t>
        </is>
      </c>
    </row>
    <row r="3">
      <c r="A3" s="10" t="inlineStr">
        <is>
          <t>Geo</t>
        </is>
      </c>
      <c r="B3" s="10" t="inlineStr">
        <is>
          <t>Geocoding / GeoNames dataset</t>
        </is>
      </c>
      <c r="C3" s="11" t="inlineStr">
        <is>
          <t>Birthplace to lat/long</t>
        </is>
      </c>
      <c r="D3" s="11" t="inlineStr">
        <is>
          <t>Free or per 1k requests</t>
        </is>
      </c>
      <c r="E3" s="26" t="n">
        <v>0</v>
      </c>
      <c r="F3" s="26" t="n">
        <v>60</v>
      </c>
      <c r="G3" s="11" t="inlineStr">
        <is>
          <t>Bundle GeoNames offline where possible to cut this to zero.</t>
        </is>
      </c>
    </row>
    <row r="4">
      <c r="A4" s="7" t="inlineStr">
        <is>
          <t>Cloud</t>
        </is>
      </c>
      <c r="B4" s="7" t="inlineStr">
        <is>
          <t>AWS/GCP eu-central-1</t>
        </is>
      </c>
      <c r="C4" s="8" t="inlineStr">
        <is>
          <t>API, DB, storage, queue, PDF workers</t>
        </is>
      </c>
      <c r="D4" s="8" t="inlineStr">
        <is>
          <t>Usage</t>
        </is>
      </c>
      <c r="E4" s="25" t="n">
        <v>0</v>
      </c>
      <c r="F4" s="25" t="n">
        <v>480</v>
      </c>
      <c r="G4" s="8" t="inlineStr">
        <is>
          <t>Lower than the original plan because chart computation moved to the client.</t>
        </is>
      </c>
    </row>
    <row r="5">
      <c r="A5" s="10" t="inlineStr">
        <is>
          <t>Payments</t>
        </is>
      </c>
      <c r="B5" s="10" t="inlineStr">
        <is>
          <t>Stripe</t>
        </is>
      </c>
      <c r="C5" s="11" t="inlineStr">
        <is>
          <t>Checkout, invoicing, payouts</t>
        </is>
      </c>
      <c r="D5" s="11" t="inlineStr">
        <is>
          <t>~1.5% + EUR 0.25 EU cards</t>
        </is>
      </c>
      <c r="E5" s="26" t="n">
        <v>0</v>
      </c>
      <c r="F5" s="26" t="n">
        <v>0</v>
      </c>
      <c r="G5" s="11" t="inlineStr">
        <is>
          <t>About EUR 0.42 per EUR 11 order. Klarna and PayPal cost more.</t>
        </is>
      </c>
    </row>
    <row r="6">
      <c r="A6" s="7" t="inlineStr">
        <is>
          <t>Payments</t>
        </is>
      </c>
      <c r="B6" s="7" t="inlineStr">
        <is>
          <t>Stripe Tax or equivalent</t>
        </is>
      </c>
      <c r="C6" s="8" t="inlineStr">
        <is>
          <t>VAT determination and OSS reporting</t>
        </is>
      </c>
      <c r="D6" s="8" t="inlineStr">
        <is>
          <t>0.4-0.5% of transactions</t>
        </is>
      </c>
      <c r="E6" s="25" t="n">
        <v>0</v>
      </c>
      <c r="F6" s="25" t="n">
        <v>60</v>
      </c>
      <c r="G6" s="8" t="inlineStr">
        <is>
          <t>Alternative: manual OSS filing via a Steuerberater.</t>
        </is>
      </c>
    </row>
    <row r="7">
      <c r="A7" s="10" t="inlineStr">
        <is>
          <t>Email</t>
        </is>
      </c>
      <c r="B7" s="10" t="inlineStr">
        <is>
          <t>Postmark / SendGrid</t>
        </is>
      </c>
      <c r="C7" s="11" t="inlineStr">
        <is>
          <t>Transactional email</t>
        </is>
      </c>
      <c r="D7" s="11" t="inlineStr">
        <is>
          <t>Per 10k emails</t>
        </is>
      </c>
      <c r="E7" s="26" t="n">
        <v>0</v>
      </c>
      <c r="F7" s="26" t="n">
        <v>40</v>
      </c>
      <c r="G7" s="11" t="inlineStr"/>
    </row>
    <row r="8">
      <c r="A8" s="7" t="inlineStr">
        <is>
          <t>Push</t>
        </is>
      </c>
      <c r="B8" s="7" t="inlineStr">
        <is>
          <t>Firebase Cloud Messaging</t>
        </is>
      </c>
      <c r="C8" s="8" t="inlineStr">
        <is>
          <t>Push notifications</t>
        </is>
      </c>
      <c r="D8" s="8" t="inlineStr">
        <is>
          <t>Free tier</t>
        </is>
      </c>
      <c r="E8" s="25" t="n">
        <v>0</v>
      </c>
      <c r="F8" s="25" t="n">
        <v>0</v>
      </c>
      <c r="G8" s="8" t="inlineStr">
        <is>
          <t>Check EU data-transfer terms.</t>
        </is>
      </c>
    </row>
    <row r="9">
      <c r="A9" s="10" t="inlineStr">
        <is>
          <t>Analytics</t>
        </is>
      </c>
      <c r="B9" s="10" t="inlineStr">
        <is>
          <t>PostHog EU / Amplitude</t>
        </is>
      </c>
      <c r="C9" s="11" t="inlineStr">
        <is>
          <t>Product analytics</t>
        </is>
      </c>
      <c r="D9" s="11" t="inlineStr">
        <is>
          <t>Per monthly tracked user</t>
        </is>
      </c>
      <c r="E9" s="26" t="n">
        <v>0</v>
      </c>
      <c r="F9" s="26" t="n">
        <v>150</v>
      </c>
      <c r="G9" s="11" t="inlineStr">
        <is>
          <t>Choose an EU-hosted plan.</t>
        </is>
      </c>
    </row>
    <row r="10">
      <c r="A10" s="7" t="inlineStr">
        <is>
          <t>Consent</t>
        </is>
      </c>
      <c r="B10" s="7" t="inlineStr">
        <is>
          <t>Usercentrics / Cookiebot</t>
        </is>
      </c>
      <c r="C10" s="8" t="inlineStr">
        <is>
          <t>GDPR consent management</t>
        </is>
      </c>
      <c r="D10" s="8" t="inlineStr">
        <is>
          <t>Per app</t>
        </is>
      </c>
      <c r="E10" s="25" t="n">
        <v>0</v>
      </c>
      <c r="F10" s="25" t="n">
        <v>50</v>
      </c>
      <c r="G10" s="8" t="inlineStr">
        <is>
          <t>A German vendor is easier to defend to a DPA.</t>
        </is>
      </c>
    </row>
    <row r="11">
      <c r="A11" s="10" t="inlineStr">
        <is>
          <t>Monitoring</t>
        </is>
      </c>
      <c r="B11" s="10" t="inlineStr">
        <is>
          <t>Sentry + Grafana Cloud</t>
        </is>
      </c>
      <c r="C11" s="11" t="inlineStr">
        <is>
          <t>Crashes, logs, metrics, alerts</t>
        </is>
      </c>
      <c r="D11" s="11" t="inlineStr">
        <is>
          <t>Per event/seat</t>
        </is>
      </c>
      <c r="E11" s="26" t="n">
        <v>0</v>
      </c>
      <c r="F11" s="26" t="n">
        <v>120</v>
      </c>
      <c r="G11" s="11" t="inlineStr">
        <is>
          <t>Scrub PII before ingestion.</t>
        </is>
      </c>
    </row>
    <row r="12">
      <c r="A12" s="7" t="inlineStr">
        <is>
          <t>AI</t>
        </is>
      </c>
      <c r="B12" s="7" t="inlineStr">
        <is>
          <t>EU-hosted LLM endpoint</t>
        </is>
      </c>
      <c r="C12" s="8" t="inlineStr">
        <is>
          <t>Astrologer drafting assistant</t>
        </is>
      </c>
      <c r="D12" s="8" t="inlineStr">
        <is>
          <t>Per token</t>
        </is>
      </c>
      <c r="E12" s="25" t="n">
        <v>0</v>
      </c>
      <c r="F12" s="25" t="n">
        <v>200</v>
      </c>
      <c r="G12" s="8" t="inlineStr">
        <is>
          <t>Must be DPA-covered; the astrologer always approves output.</t>
        </is>
      </c>
    </row>
    <row r="13">
      <c r="A13" s="10" t="inlineStr">
        <is>
          <t>Support</t>
        </is>
      </c>
      <c r="B13" s="10" t="inlineStr">
        <is>
          <t>Zendesk / Freshdesk</t>
        </is>
      </c>
      <c r="C13" s="11" t="inlineStr">
        <is>
          <t>Ticketing with German macros</t>
        </is>
      </c>
      <c r="D13" s="11" t="inlineStr">
        <is>
          <t>Per agent</t>
        </is>
      </c>
      <c r="E13" s="26" t="n">
        <v>0</v>
      </c>
      <c r="F13" s="26" t="n">
        <v>90</v>
      </c>
      <c r="G13" s="11" t="inlineStr">
        <is>
          <t>Two agents assumed.</t>
        </is>
      </c>
    </row>
    <row r="14">
      <c r="A14" s="7" t="inlineStr">
        <is>
          <t>Stores</t>
        </is>
      </c>
      <c r="B14" s="7" t="inlineStr">
        <is>
          <t>Apple Developer Program</t>
        </is>
      </c>
      <c r="C14" s="8" t="inlineStr">
        <is>
          <t>iOS distribution</t>
        </is>
      </c>
      <c r="D14" s="8" t="inlineStr">
        <is>
          <t>Annual</t>
        </is>
      </c>
      <c r="E14" s="25" t="n">
        <v>0</v>
      </c>
      <c r="F14" s="25" t="n">
        <v>8</v>
      </c>
      <c r="G14" s="8" t="inlineStr">
        <is>
          <t>EUR 99/year.</t>
        </is>
      </c>
    </row>
    <row r="15">
      <c r="A15" s="10" t="inlineStr">
        <is>
          <t>Stores</t>
        </is>
      </c>
      <c r="B15" s="10" t="inlineStr">
        <is>
          <t>Google Play Console</t>
        </is>
      </c>
      <c r="C15" s="11" t="inlineStr">
        <is>
          <t>Android distribution</t>
        </is>
      </c>
      <c r="D15" s="11" t="inlineStr">
        <is>
          <t>One-off</t>
        </is>
      </c>
      <c r="E15" s="26" t="n">
        <v>25</v>
      </c>
      <c r="F15" s="26" t="n">
        <v>0</v>
      </c>
      <c r="G15" s="11" t="inlineStr">
        <is>
          <t>USD 25 one-off.</t>
        </is>
      </c>
    </row>
    <row r="16">
      <c r="A16" s="7" t="inlineStr">
        <is>
          <t>Legal</t>
        </is>
      </c>
      <c r="B16" s="7" t="inlineStr">
        <is>
          <t>German lawyer - AGB, Datenschutz, Widerruf, DPIA</t>
        </is>
      </c>
      <c r="C16" s="8" t="inlineStr">
        <is>
          <t>Compliance documents</t>
        </is>
      </c>
      <c r="D16" s="8" t="inlineStr">
        <is>
          <t>Project fee</t>
        </is>
      </c>
      <c r="E16" s="25" t="n">
        <v>4500</v>
      </c>
      <c r="F16" s="25" t="n">
        <v>0</v>
      </c>
      <c r="G16" s="8" t="inlineStr">
        <is>
          <t>Range EUR 3,000-6,000. Non-negotiable.</t>
        </is>
      </c>
    </row>
    <row r="17">
      <c r="A17" s="10" t="inlineStr">
        <is>
          <t>Legal</t>
        </is>
      </c>
      <c r="B17" s="10" t="inlineStr">
        <is>
          <t>Software-licensing lawyer - AGPL boundary opinion</t>
        </is>
      </c>
      <c r="C17" s="11" t="inlineStr">
        <is>
          <t>Confirms the client-side boundary protects your backend</t>
        </is>
      </c>
      <c r="D17" s="11" t="inlineStr">
        <is>
          <t>Project fee</t>
        </is>
      </c>
      <c r="E17" s="26" t="n">
        <v>1500</v>
      </c>
      <c r="F17" s="26" t="n">
        <v>0</v>
      </c>
      <c r="G17" s="11" t="inlineStr">
        <is>
          <t>NEW and important. Cheaper than open-sourcing your platform by accident.</t>
        </is>
      </c>
    </row>
    <row r="18">
      <c r="A18" s="7" t="inlineStr">
        <is>
          <t>Legal</t>
        </is>
      </c>
      <c r="B18" s="7" t="inlineStr">
        <is>
          <t>Employment lawyer - career feature terms review</t>
        </is>
      </c>
      <c r="C18" s="8" t="inlineStr">
        <is>
          <t>Confirms the personal-use restriction keeps you out of AI Act scope</t>
        </is>
      </c>
      <c r="D18" s="8" t="inlineStr">
        <is>
          <t>Project fee</t>
        </is>
      </c>
      <c r="E18" s="25" t="n">
        <v>800</v>
      </c>
      <c r="F18" s="25" t="n">
        <v>0</v>
      </c>
      <c r="G18" s="8" t="inlineStr">
        <is>
          <t>NEW. One-off review of the ToS wording.</t>
        </is>
      </c>
    </row>
    <row r="19">
      <c r="A19" s="10" t="inlineStr">
        <is>
          <t>Legal</t>
        </is>
      </c>
      <c r="B19" s="10" t="inlineStr">
        <is>
          <t>External DPO if required</t>
        </is>
      </c>
      <c r="C19" s="11" t="inlineStr">
        <is>
          <t>GDPR oversight</t>
        </is>
      </c>
      <c r="D19" s="11" t="inlineStr">
        <is>
          <t>Retainer</t>
        </is>
      </c>
      <c r="E19" s="26" t="n">
        <v>0</v>
      </c>
      <c r="F19" s="26" t="n">
        <v>250</v>
      </c>
      <c r="G19" s="11" t="inlineStr">
        <is>
          <t>Take advice on whether you need one.</t>
        </is>
      </c>
    </row>
    <row r="20">
      <c r="A20" s="7" t="inlineStr">
        <is>
          <t>Security</t>
        </is>
      </c>
      <c r="B20" s="7" t="inlineStr">
        <is>
          <t>External penetration test</t>
        </is>
      </c>
      <c r="C20" s="8" t="inlineStr">
        <is>
          <t>Pre-launch security assurance</t>
        </is>
      </c>
      <c r="D20" s="8" t="inlineStr">
        <is>
          <t>Project fee</t>
        </is>
      </c>
      <c r="E20" s="25" t="n">
        <v>8000</v>
      </c>
      <c r="F20" s="25" t="n">
        <v>0</v>
      </c>
      <c r="G20" s="8" t="inlineStr">
        <is>
          <t>Range EUR 6,000-12,000 for app plus API.</t>
        </is>
      </c>
    </row>
    <row r="21">
      <c r="A21" s="10" t="inlineStr">
        <is>
          <t>Finance</t>
        </is>
      </c>
      <c r="B21" s="10" t="inlineStr">
        <is>
          <t>Steuerberater</t>
        </is>
      </c>
      <c r="C21" s="11" t="inlineStr">
        <is>
          <t>VAT, OSS, GoBD, annual accounts</t>
        </is>
      </c>
      <c r="D21" s="11" t="inlineStr">
        <is>
          <t>Retainer</t>
        </is>
      </c>
      <c r="E21" s="26" t="n">
        <v>0</v>
      </c>
      <c r="F21" s="26" t="n">
        <v>350</v>
      </c>
      <c r="G21" s="11" t="inlineStr">
        <is>
          <t>Essential for German VAT and OSS filings.</t>
        </is>
      </c>
    </row>
    <row r="22">
      <c r="A22" s="7" t="inlineStr">
        <is>
          <t>Content</t>
        </is>
      </c>
      <c r="B22" s="7" t="inlineStr">
        <is>
          <t>Bilingual astrologer content review</t>
        </is>
      </c>
      <c r="C22" s="8" t="inlineStr">
        <is>
          <t>Terminology, style guide, career rule sign-off</t>
        </is>
      </c>
      <c r="D22" s="8" t="inlineStr">
        <is>
          <t>Project fee</t>
        </is>
      </c>
      <c r="E22" s="25" t="n">
        <v>3500</v>
      </c>
      <c r="F22" s="25" t="n">
        <v>0</v>
      </c>
      <c r="G22" s="8" t="inlineStr">
        <is>
          <t>Increased from the original plan - the career rule set needs expert sign-off.</t>
        </is>
      </c>
    </row>
    <row r="23">
      <c r="A23" s="10" t="inlineStr">
        <is>
          <t>Content</t>
        </is>
      </c>
      <c r="B23" s="10" t="inlineStr">
        <is>
          <t>Translation management (Lokalise/Crowdin)</t>
        </is>
      </c>
      <c r="C23" s="11" t="inlineStr">
        <is>
          <t>de-DE and en-GB strings</t>
        </is>
      </c>
      <c r="D23" s="11" t="inlineStr">
        <is>
          <t>Per seat</t>
        </is>
      </c>
      <c r="E23" s="26" t="n">
        <v>0</v>
      </c>
      <c r="F23" s="26" t="n">
        <v>60</v>
      </c>
      <c r="G23" s="11" t="inlineStr"/>
    </row>
    <row r="24">
      <c r="A24" s="7" t="n"/>
      <c r="B24" s="7" t="inlineStr">
        <is>
          <t>TOTAL</t>
        </is>
      </c>
      <c r="C24" s="8" t="n"/>
      <c r="D24" s="8" t="n"/>
      <c r="E24" s="25">
        <f>SUM(E2:E23)</f>
        <v/>
      </c>
      <c r="F24" s="25">
        <f>SUM(F2:F23)</f>
        <v/>
      </c>
      <c r="G24" s="8" t="n"/>
    </row>
    <row r="25">
      <c r="A25" s="10" t="n"/>
      <c r="B25" s="10" t="n"/>
      <c r="C25" s="11" t="n"/>
      <c r="D25" s="11" t="n"/>
      <c r="E25" s="26" t="n"/>
      <c r="F25" s="26" t="n"/>
      <c r="G25" s="11" t="n"/>
    </row>
    <row r="26">
      <c r="A26" s="7" t="n"/>
      <c r="B26" s="7" t="inlineStr">
        <is>
          <t>Year-1 run cost (12 months)</t>
        </is>
      </c>
      <c r="C26" s="8" t="n"/>
      <c r="D26" s="8" t="n"/>
      <c r="E26" s="25" t="n"/>
      <c r="F26" s="25">
        <f>F24*12</f>
        <v/>
      </c>
      <c r="G26" s="8" t="n"/>
    </row>
    <row r="27">
      <c r="A27" s="10" t="n"/>
      <c r="B27" s="10" t="inlineStr">
        <is>
          <t>Year-1 total incl. one-offs</t>
        </is>
      </c>
      <c r="C27" s="11" t="n"/>
      <c r="D27" s="11" t="n"/>
      <c r="E27" s="26" t="n"/>
      <c r="F27" s="26">
        <f>F24*12+E24</f>
        <v/>
      </c>
      <c r="G27" s="11" t="n"/>
    </row>
    <row r="30">
      <c r="B30" s="27" t="inlineStr">
        <is>
          <t>UNIT ECONOMICS PER EVALUATION</t>
        </is>
      </c>
    </row>
    <row r="31">
      <c r="B31" s="28" t="inlineStr">
        <is>
          <t>Gross price charged (incl. 19% VAT)</t>
        </is>
      </c>
      <c r="C31" s="29" t="n">
        <v>11</v>
      </c>
      <c r="D31" s="30" t="inlineStr">
        <is>
          <t>Your stated price</t>
        </is>
      </c>
    </row>
    <row r="32">
      <c r="B32" s="28" t="inlineStr">
        <is>
          <t>VAT rate</t>
        </is>
      </c>
      <c r="C32" s="31" t="n">
        <v>0.19</v>
      </c>
      <c r="D32" s="30" t="inlineStr">
        <is>
          <t>German standard rate</t>
        </is>
      </c>
    </row>
    <row r="33">
      <c r="B33" s="28" t="inlineStr">
        <is>
          <t>Net revenue</t>
        </is>
      </c>
      <c r="C33" s="32">
        <f>C31/(1+C32)</f>
        <v/>
      </c>
      <c r="D33" s="30" t="inlineStr">
        <is>
          <t>Calculated: gross divided by 1.19</t>
        </is>
      </c>
    </row>
    <row r="34">
      <c r="B34" s="28" t="inlineStr">
        <is>
          <t>VAT payable to Finanzamt</t>
        </is>
      </c>
      <c r="C34" s="32">
        <f>C31-C33</f>
        <v/>
      </c>
      <c r="D34" s="30" t="inlineStr">
        <is>
          <t>Calculated: gross minus net</t>
        </is>
      </c>
    </row>
    <row r="35">
      <c r="B35" s="28" t="inlineStr">
        <is>
          <t>Astrologer fee</t>
        </is>
      </c>
      <c r="C35" s="29" t="n">
        <v>4.75</v>
      </c>
      <c r="D35" s="30" t="inlineStr">
        <is>
          <t>Assumption - negotiate with astrologers</t>
        </is>
      </c>
    </row>
    <row r="36">
      <c r="B36" s="28" t="inlineStr">
        <is>
          <t>Payment processing</t>
        </is>
      </c>
      <c r="C36" s="29" t="n">
        <v>0.42</v>
      </c>
      <c r="D36" s="30" t="inlineStr">
        <is>
          <t>Stripe EU card blend</t>
        </is>
      </c>
    </row>
    <row r="37">
      <c r="B37" s="28" t="inlineStr">
        <is>
          <t>Infrastructure, PDF and email</t>
        </is>
      </c>
      <c r="C37" s="29" t="n">
        <v>0.15</v>
      </c>
      <c r="D37" s="30" t="inlineStr">
        <is>
          <t>Assumption</t>
        </is>
      </c>
    </row>
    <row r="38">
      <c r="B38" s="3" t="inlineStr">
        <is>
          <t>Contribution margin per order</t>
        </is>
      </c>
      <c r="C38" s="33">
        <f>C33-C35-C36-C37</f>
        <v/>
      </c>
      <c r="D38" s="30" t="inlineStr"/>
    </row>
    <row r="39">
      <c r="B39" s="3" t="inlineStr">
        <is>
          <t>Contribution margin %</t>
        </is>
      </c>
      <c r="C39" s="34">
        <f>IF(C33=0,0,C38/C33)</f>
        <v/>
      </c>
      <c r="D39" s="30" t="inlineStr"/>
    </row>
    <row r="41">
      <c r="B41" s="3" t="inlineStr">
        <is>
          <t>Orders/month to cover monthly run cost</t>
        </is>
      </c>
      <c r="C41" s="35">
        <f>IF(C38&lt;=0,0,ROUNDUP(F24/C38,0))</f>
        <v/>
      </c>
      <c r="D41" s="30" t="inlineStr">
        <is>
          <t>Operating cost only; excludes salaries and one-offs.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62" customWidth="1" min="3" max="3"/>
    <col width="18" customWidth="1" min="4" max="4"/>
    <col width="22" customWidth="1" min="5" max="5"/>
  </cols>
  <sheetData>
    <row r="1" ht="30" customHeight="1">
      <c r="A1" s="6" t="inlineStr">
        <is>
          <t>Role</t>
        </is>
      </c>
      <c r="B1" s="6" t="inlineStr">
        <is>
          <t>FTE for MVP</t>
        </is>
      </c>
      <c r="C1" s="6" t="inlineStr">
        <is>
          <t>Responsibility</t>
        </is>
      </c>
      <c r="D1" s="6" t="inlineStr">
        <is>
          <t>Outsourceable?</t>
        </is>
      </c>
      <c r="E1" s="6" t="inlineStr">
        <is>
          <t>Indicative cost (EUR/month)</t>
        </is>
      </c>
    </row>
    <row r="2">
      <c r="A2" s="7" t="inlineStr">
        <is>
          <t>Product Owner / Founder</t>
        </is>
      </c>
      <c r="B2" s="7" t="n">
        <v>1</v>
      </c>
      <c r="C2" s="8" t="inlineStr">
        <is>
          <t>Scope, pricing, astrologer relationships, launch decisions</t>
        </is>
      </c>
      <c r="D2" s="7" t="inlineStr">
        <is>
          <t>No</t>
        </is>
      </c>
      <c r="E2" s="25" t="n">
        <v>0</v>
      </c>
    </row>
    <row r="3">
      <c r="A3" s="10" t="inlineStr">
        <is>
          <t>Tech Lead / Architect</t>
        </is>
      </c>
      <c r="B3" s="10" t="n">
        <v>1</v>
      </c>
      <c r="C3" s="11" t="inlineStr">
        <is>
          <t>Architecture, AGPL boundary, engine package, security</t>
        </is>
      </c>
      <c r="D3" s="10" t="inlineStr">
        <is>
          <t>No</t>
        </is>
      </c>
      <c r="E3" s="26" t="n">
        <v>9000</v>
      </c>
    </row>
    <row r="4">
      <c r="A4" s="7" t="inlineStr">
        <is>
          <t>Flutter Developer</t>
        </is>
      </c>
      <c r="B4" s="7" t="n">
        <v>2</v>
      </c>
      <c r="C4" s="8" t="inlineStr">
        <is>
          <t>iOS + Android app, FFI integration, chart rendering, career UI</t>
        </is>
      </c>
      <c r="D4" s="7" t="inlineStr">
        <is>
          <t>Yes</t>
        </is>
      </c>
      <c r="E4" s="25" t="n">
        <v>14000</v>
      </c>
    </row>
    <row r="5">
      <c r="A5" s="10" t="inlineStr">
        <is>
          <t>Backend Developer</t>
        </is>
      </c>
      <c r="B5" s="10" t="n">
        <v>1.5</v>
      </c>
      <c r="C5" s="11" t="inlineStr">
        <is>
          <t>APIs, payments, orders, PDF pipeline, admin, WASM console</t>
        </is>
      </c>
      <c r="D5" s="10" t="inlineStr">
        <is>
          <t>Yes</t>
        </is>
      </c>
      <c r="E5" s="26" t="n">
        <v>11000</v>
      </c>
    </row>
    <row r="6">
      <c r="A6" s="7" t="inlineStr">
        <is>
          <t>DevOps / SRE</t>
        </is>
      </c>
      <c r="B6" s="7" t="n">
        <v>0.5</v>
      </c>
      <c r="C6" s="8" t="inlineStr">
        <is>
          <t>IaC, CI/CD, observability, on-call</t>
        </is>
      </c>
      <c r="D6" s="7" t="inlineStr">
        <is>
          <t>Yes</t>
        </is>
      </c>
      <c r="E6" s="25" t="n">
        <v>4500</v>
      </c>
    </row>
    <row r="7">
      <c r="A7" s="10" t="inlineStr">
        <is>
          <t>UI/UX Designer</t>
        </is>
      </c>
      <c r="B7" s="10" t="n">
        <v>1</v>
      </c>
      <c r="C7" s="11" t="inlineStr">
        <is>
          <t>Design system, chart UX, career feature UX</t>
        </is>
      </c>
      <c r="D7" s="10" t="inlineStr">
        <is>
          <t>Yes</t>
        </is>
      </c>
      <c r="E7" s="26" t="n">
        <v>6000</v>
      </c>
    </row>
    <row r="8">
      <c r="A8" s="7" t="inlineStr">
        <is>
          <t>QA Engineer</t>
        </is>
      </c>
      <c r="B8" s="7" t="n">
        <v>1</v>
      </c>
      <c r="C8" s="8" t="inlineStr">
        <is>
          <t>Test automation, accuracy suite, device testing</t>
        </is>
      </c>
      <c r="D8" s="7" t="inlineStr">
        <is>
          <t>Yes</t>
        </is>
      </c>
      <c r="E8" s="25" t="n">
        <v>5500</v>
      </c>
    </row>
    <row r="9">
      <c r="A9" s="10" t="inlineStr">
        <is>
          <t>Vedic Astrology Consultant</t>
        </is>
      </c>
      <c r="B9" s="10" t="n">
        <v>0.5</v>
      </c>
      <c r="C9" s="11" t="inlineStr">
        <is>
          <t>Rule validation, industry mapping sign-off, astrologer vetting</t>
        </is>
      </c>
      <c r="D9" s="10" t="inlineStr">
        <is>
          <t>Yes</t>
        </is>
      </c>
      <c r="E9" s="26" t="n">
        <v>3000</v>
      </c>
    </row>
    <row r="10">
      <c r="A10" s="7" t="inlineStr">
        <is>
          <t>German Content Editor</t>
        </is>
      </c>
      <c r="B10" s="7" t="n">
        <v>0.5</v>
      </c>
      <c r="C10" s="8" t="inlineStr">
        <is>
          <t>Translation quality, terminology, career tone review</t>
        </is>
      </c>
      <c r="D10" s="7" t="inlineStr">
        <is>
          <t>Yes</t>
        </is>
      </c>
      <c r="E10" s="25" t="n">
        <v>2500</v>
      </c>
    </row>
    <row r="11">
      <c r="A11" s="10" t="inlineStr">
        <is>
          <t>Astrologers (fulfilment)</t>
        </is>
      </c>
      <c r="B11" s="10" t="n">
        <v>0</v>
      </c>
      <c r="C11" s="11" t="inlineStr">
        <is>
          <t>Write evaluations - paid per report, not salaried</t>
        </is>
      </c>
      <c r="D11" s="10" t="inlineStr">
        <is>
          <t>Yes</t>
        </is>
      </c>
      <c r="E11" s="26" t="n">
        <v>0</v>
      </c>
    </row>
    <row r="12">
      <c r="A12" s="7" t="inlineStr">
        <is>
          <t>Customer Support (German)</t>
        </is>
      </c>
      <c r="B12" s="7" t="n">
        <v>1</v>
      </c>
      <c r="C12" s="8" t="inlineStr">
        <is>
          <t>Tickets, refunds, SLA communication</t>
        </is>
      </c>
      <c r="D12" s="7" t="inlineStr">
        <is>
          <t>Yes</t>
        </is>
      </c>
      <c r="E12" s="25" t="n">
        <v>3500</v>
      </c>
    </row>
    <row r="13">
      <c r="A13" s="10" t="inlineStr">
        <is>
          <t>TOTAL</t>
        </is>
      </c>
      <c r="B13" s="10">
        <f>SUM(B2:B12)</f>
        <v/>
      </c>
      <c r="C13" s="11" t="n"/>
      <c r="D13" s="10" t="n"/>
      <c r="E13" s="26">
        <f>SUM(E2:E12)</f>
        <v/>
      </c>
    </row>
    <row r="14">
      <c r="A14" s="7" t="n"/>
      <c r="B14" s="7" t="n"/>
      <c r="C14" s="8" t="n"/>
      <c r="D14" s="7" t="n"/>
      <c r="E14" s="25" t="n"/>
    </row>
    <row r="15">
      <c r="A15" s="10" t="inlineStr">
        <is>
          <t>Total story points (all releases)</t>
        </is>
      </c>
      <c r="B15" s="10">
        <f>SUM('User Stories'!H2:H200)</f>
        <v/>
      </c>
      <c r="C15" s="11" t="n"/>
      <c r="D15" s="10" t="n"/>
      <c r="E15" s="26" t="n"/>
    </row>
    <row r="16">
      <c r="A16" s="7" t="inlineStr">
        <is>
          <t>MVP story points</t>
        </is>
      </c>
      <c r="B16" s="7">
        <f>SUMIF('User Stories'!I2:I200,"MVP",'User Stories'!H2:H200)</f>
        <v/>
      </c>
      <c r="C16" s="8" t="n"/>
      <c r="D16" s="7" t="n"/>
      <c r="E16" s="25" t="n"/>
    </row>
    <row r="17">
      <c r="A17" s="10" t="inlineStr">
        <is>
          <t>Assumed velocity (points / 2-week sprint)</t>
        </is>
      </c>
      <c r="B17" s="9" t="n">
        <v>60</v>
      </c>
      <c r="C17" s="11" t="n"/>
      <c r="D17" s="10" t="n"/>
      <c r="E17" s="26" t="n"/>
    </row>
    <row r="18">
      <c r="A18" s="7" t="inlineStr">
        <is>
          <t>Estimated MVP sprints</t>
        </is>
      </c>
      <c r="B18" s="7">
        <f>ROUNDUP(B16/B17,0)</f>
        <v/>
      </c>
      <c r="C18" s="8" t="n"/>
      <c r="D18" s="7" t="n"/>
      <c r="E18" s="25" t="n"/>
    </row>
    <row r="19">
      <c r="A19" s="10" t="inlineStr">
        <is>
          <t>Estimated MVP calendar weeks (incl. 2-week discovery)</t>
        </is>
      </c>
      <c r="B19" s="10">
        <f>B18*2+2</f>
        <v/>
      </c>
      <c r="C19" s="11" t="n"/>
      <c r="D19" s="10" t="n"/>
      <c r="E19" s="2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6" customWidth="1" min="1" max="1"/>
    <col width="46" customWidth="1" min="2" max="2"/>
    <col width="14" customWidth="1" min="3" max="3"/>
    <col width="14" customWidth="1" min="4" max="4"/>
  </cols>
  <sheetData>
    <row r="1">
      <c r="A1" s="27" t="inlineStr">
        <is>
          <t>POINTS BY RELEASE</t>
        </is>
      </c>
    </row>
    <row r="2">
      <c r="A2" s="36" t="inlineStr">
        <is>
          <t>Release</t>
        </is>
      </c>
      <c r="B2" s="36" t="inlineStr">
        <is>
          <t>Stories</t>
        </is>
      </c>
      <c r="C2" s="36" t="inlineStr">
        <is>
          <t>Points</t>
        </is>
      </c>
      <c r="D2" s="36" t="inlineStr">
        <is>
          <t>% of total</t>
        </is>
      </c>
    </row>
    <row r="3">
      <c r="A3" t="inlineStr">
        <is>
          <t>MVP</t>
        </is>
      </c>
      <c r="B3">
        <f>COUNTIF('User Stories'!$I$2:$I$200,$A3)</f>
        <v/>
      </c>
      <c r="C3">
        <f>SUMIF('User Stories'!$I$2:$I$200,$A3,'User Stories'!$H$2:$H$200)</f>
        <v/>
      </c>
      <c r="D3" s="37">
        <f>IF($C$6=0,0,C3/$C$6)</f>
        <v/>
      </c>
    </row>
    <row r="4">
      <c r="A4" t="inlineStr">
        <is>
          <t>R1.1</t>
        </is>
      </c>
      <c r="B4">
        <f>COUNTIF('User Stories'!$I$2:$I$200,$A4)</f>
        <v/>
      </c>
      <c r="C4">
        <f>SUMIF('User Stories'!$I$2:$I$200,$A4,'User Stories'!$H$2:$H$200)</f>
        <v/>
      </c>
      <c r="D4" s="37">
        <f>IF($C$6=0,0,C4/$C$6)</f>
        <v/>
      </c>
    </row>
    <row r="5">
      <c r="A5" t="inlineStr">
        <is>
          <t>R2</t>
        </is>
      </c>
      <c r="B5">
        <f>COUNTIF('User Stories'!$I$2:$I$200,$A5)</f>
        <v/>
      </c>
      <c r="C5">
        <f>SUMIF('User Stories'!$I$2:$I$200,$A5,'User Stories'!$H$2:$H$200)</f>
        <v/>
      </c>
      <c r="D5" s="37">
        <f>IF($C$6=0,0,C5/$C$6)</f>
        <v/>
      </c>
    </row>
    <row r="6">
      <c r="A6" s="3" t="inlineStr">
        <is>
          <t>TOTAL</t>
        </is>
      </c>
      <c r="B6" s="3">
        <f>SUM(B3:B5)</f>
        <v/>
      </c>
      <c r="C6" s="3">
        <f>SUM(C3:C5)</f>
        <v/>
      </c>
    </row>
    <row r="8">
      <c r="A8" s="27" t="inlineStr">
        <is>
          <t>POINTS BY PRIORITY</t>
        </is>
      </c>
    </row>
    <row r="9">
      <c r="A9" s="36" t="inlineStr">
        <is>
          <t>Priority</t>
        </is>
      </c>
      <c r="B9" s="36" t="inlineStr">
        <is>
          <t>Stories</t>
        </is>
      </c>
      <c r="C9" s="36" t="inlineStr">
        <is>
          <t>Points</t>
        </is>
      </c>
    </row>
    <row r="10">
      <c r="A10" t="inlineStr">
        <is>
          <t>Must</t>
        </is>
      </c>
      <c r="B10">
        <f>COUNTIF('User Stories'!$G$2:$G$200,$A10)</f>
        <v/>
      </c>
      <c r="C10">
        <f>SUMIF('User Stories'!$G$2:$G$200,$A10,'User Stories'!$H$2:$H$200)</f>
        <v/>
      </c>
    </row>
    <row r="11">
      <c r="A11" t="inlineStr">
        <is>
          <t>Should</t>
        </is>
      </c>
      <c r="B11">
        <f>COUNTIF('User Stories'!$G$2:$G$200,$A11)</f>
        <v/>
      </c>
      <c r="C11">
        <f>SUMIF('User Stories'!$G$2:$G$200,$A11,'User Stories'!$H$2:$H$200)</f>
        <v/>
      </c>
    </row>
    <row r="12">
      <c r="A12" t="inlineStr">
        <is>
          <t>Could</t>
        </is>
      </c>
      <c r="B12">
        <f>COUNTIF('User Stories'!$G$2:$G$200,$A12)</f>
        <v/>
      </c>
      <c r="C12">
        <f>SUMIF('User Stories'!$G$2:$G$200,$A12,'User Stories'!$H$2:$H$200)</f>
        <v/>
      </c>
    </row>
    <row r="13">
      <c r="A13" s="3" t="inlineStr">
        <is>
          <t>TOTAL</t>
        </is>
      </c>
      <c r="B13" s="3">
        <f>SUM(B10:B12)</f>
        <v/>
      </c>
      <c r="C13" s="3">
        <f>SUM(C10:C12)</f>
        <v/>
      </c>
    </row>
    <row r="15">
      <c r="A15" s="27" t="inlineStr">
        <is>
          <t>MVP POINTS BY EPIC</t>
        </is>
      </c>
    </row>
    <row r="16">
      <c r="A16" s="36" t="inlineStr">
        <is>
          <t>Epic ID</t>
        </is>
      </c>
      <c r="B16" s="36" t="inlineStr">
        <is>
          <t>Epic Name</t>
        </is>
      </c>
      <c r="C16" s="36" t="inlineStr">
        <is>
          <t>MVP Points</t>
        </is>
      </c>
      <c r="D16" s="36" t="inlineStr">
        <is>
          <t>All Points</t>
        </is>
      </c>
    </row>
    <row r="17">
      <c r="A17" t="inlineStr">
        <is>
          <t>E01</t>
        </is>
      </c>
      <c r="B17" t="inlineStr">
        <is>
          <t>Foundation &amp; Platform Setup</t>
        </is>
      </c>
      <c r="C17">
        <f>SUMIFS('User Stories'!$H$2:$H$200,'User Stories'!$B$2:$B$200,$A17,'User Stories'!$I$2:$I$200,"MVP")</f>
        <v/>
      </c>
      <c r="D17">
        <f>SUMIF('User Stories'!$B$2:$B$200,$A17,'User Stories'!$H$2:$H$200)</f>
        <v/>
      </c>
    </row>
    <row r="18">
      <c r="A18" t="inlineStr">
        <is>
          <t>E02</t>
        </is>
      </c>
      <c r="B18" t="inlineStr">
        <is>
          <t>Onboarding, Auth &amp; Account</t>
        </is>
      </c>
      <c r="C18">
        <f>SUMIFS('User Stories'!$H$2:$H$200,'User Stories'!$B$2:$B$200,$A18,'User Stories'!$I$2:$I$200,"MVP")</f>
        <v/>
      </c>
      <c r="D18">
        <f>SUMIF('User Stories'!$B$2:$B$200,$A18,'User Stories'!$H$2:$H$200)</f>
        <v/>
      </c>
    </row>
    <row r="19">
      <c r="A19" t="inlineStr">
        <is>
          <t>E03</t>
        </is>
      </c>
      <c r="B19" t="inlineStr">
        <is>
          <t>Birth Data Capture &amp; Time/Geo Resolution</t>
        </is>
      </c>
      <c r="C19">
        <f>SUMIFS('User Stories'!$H$2:$H$200,'User Stories'!$B$2:$B$200,$A19,'User Stories'!$I$2:$I$200,"MVP")</f>
        <v/>
      </c>
      <c r="D19">
        <f>SUMIF('User Stories'!$B$2:$B$200,$A19,'User Stories'!$H$2:$H$200)</f>
        <v/>
      </c>
    </row>
    <row r="20">
      <c r="A20" t="inlineStr">
        <is>
          <t>E04</t>
        </is>
      </c>
      <c r="B20" t="inlineStr">
        <is>
          <t>Vedic Calculation Engine (AGPL, client-side)</t>
        </is>
      </c>
      <c r="C20">
        <f>SUMIFS('User Stories'!$H$2:$H$200,'User Stories'!$B$2:$B$200,$A20,'User Stories'!$I$2:$I$200,"MVP")</f>
        <v/>
      </c>
      <c r="D20">
        <f>SUMIF('User Stories'!$B$2:$B$200,$A20,'User Stories'!$H$2:$H$200)</f>
        <v/>
      </c>
    </row>
    <row r="21">
      <c r="A21" t="inlineStr">
        <is>
          <t>E05</t>
        </is>
      </c>
      <c r="B21" t="inlineStr">
        <is>
          <t>Kundali Rendering &amp; Free Insights</t>
        </is>
      </c>
      <c r="C21">
        <f>SUMIFS('User Stories'!$H$2:$H$200,'User Stories'!$B$2:$B$200,$A21,'User Stories'!$I$2:$I$200,"MVP")</f>
        <v/>
      </c>
      <c r="D21">
        <f>SUMIF('User Stories'!$B$2:$B$200,$A21,'User Stories'!$H$2:$H$200)</f>
        <v/>
      </c>
    </row>
    <row r="22">
      <c r="A22" t="inlineStr">
        <is>
          <t>E16</t>
        </is>
      </c>
      <c r="B22" t="inlineStr">
        <is>
          <t>Career &amp; Industry Fit (free feature)</t>
        </is>
      </c>
      <c r="C22">
        <f>SUMIFS('User Stories'!$H$2:$H$200,'User Stories'!$B$2:$B$200,$A22,'User Stories'!$I$2:$I$200,"MVP")</f>
        <v/>
      </c>
      <c r="D22">
        <f>SUMIF('User Stories'!$B$2:$B$200,$A22,'User Stories'!$H$2:$H$200)</f>
        <v/>
      </c>
    </row>
    <row r="23">
      <c r="A23" t="inlineStr">
        <is>
          <t>E06</t>
        </is>
      </c>
      <c r="B23" t="inlineStr">
        <is>
          <t>Expert Kundali Evaluation - Customer Flow</t>
        </is>
      </c>
      <c r="C23">
        <f>SUMIFS('User Stories'!$H$2:$H$200,'User Stories'!$B$2:$B$200,$A23,'User Stories'!$I$2:$I$200,"MVP")</f>
        <v/>
      </c>
      <c r="D23">
        <f>SUMIF('User Stories'!$B$2:$B$200,$A23,'User Stories'!$H$2:$H$200)</f>
        <v/>
      </c>
    </row>
    <row r="24">
      <c r="A24" t="inlineStr">
        <is>
          <t>E07</t>
        </is>
      </c>
      <c r="B24" t="inlineStr">
        <is>
          <t>Astrologer Console (Expert Side)</t>
        </is>
      </c>
      <c r="C24">
        <f>SUMIFS('User Stories'!$H$2:$H$200,'User Stories'!$B$2:$B$200,$A24,'User Stories'!$I$2:$I$200,"MVP")</f>
        <v/>
      </c>
      <c r="D24">
        <f>SUMIF('User Stories'!$B$2:$B$200,$A24,'User Stories'!$H$2:$H$200)</f>
        <v/>
      </c>
    </row>
    <row r="25">
      <c r="A25" t="inlineStr">
        <is>
          <t>E08</t>
        </is>
      </c>
      <c r="B25" t="inlineStr">
        <is>
          <t>Payments, Billing &amp; German Tax</t>
        </is>
      </c>
      <c r="C25">
        <f>SUMIFS('User Stories'!$H$2:$H$200,'User Stories'!$B$2:$B$200,$A25,'User Stories'!$I$2:$I$200,"MVP")</f>
        <v/>
      </c>
      <c r="D25">
        <f>SUMIF('User Stories'!$B$2:$B$200,$A25,'User Stories'!$H$2:$H$200)</f>
        <v/>
      </c>
    </row>
    <row r="26">
      <c r="A26" t="inlineStr">
        <is>
          <t>E09</t>
        </is>
      </c>
      <c r="B26" t="inlineStr">
        <is>
          <t>Localization &amp; German Content</t>
        </is>
      </c>
      <c r="C26">
        <f>SUMIFS('User Stories'!$H$2:$H$200,'User Stories'!$B$2:$B$200,$A26,'User Stories'!$I$2:$I$200,"MVP")</f>
        <v/>
      </c>
      <c r="D26">
        <f>SUMIF('User Stories'!$B$2:$B$200,$A26,'User Stories'!$H$2:$H$200)</f>
        <v/>
      </c>
    </row>
    <row r="27">
      <c r="A27" t="inlineStr">
        <is>
          <t>E10</t>
        </is>
      </c>
      <c r="B27" t="inlineStr">
        <is>
          <t>Notifications &amp; Engagement</t>
        </is>
      </c>
      <c r="C27">
        <f>SUMIFS('User Stories'!$H$2:$H$200,'User Stories'!$B$2:$B$200,$A27,'User Stories'!$I$2:$I$200,"MVP")</f>
        <v/>
      </c>
      <c r="D27">
        <f>SUMIF('User Stories'!$B$2:$B$200,$A27,'User Stories'!$H$2:$H$200)</f>
        <v/>
      </c>
    </row>
    <row r="28">
      <c r="A28" t="inlineStr">
        <is>
          <t>E11</t>
        </is>
      </c>
      <c r="B28" t="inlineStr">
        <is>
          <t>GDPR, Privacy &amp; Legal Compliance</t>
        </is>
      </c>
      <c r="C28">
        <f>SUMIFS('User Stories'!$H$2:$H$200,'User Stories'!$B$2:$B$200,$A28,'User Stories'!$I$2:$I$200,"MVP")</f>
        <v/>
      </c>
      <c r="D28">
        <f>SUMIF('User Stories'!$B$2:$B$200,$A28,'User Stories'!$H$2:$H$200)</f>
        <v/>
      </c>
    </row>
    <row r="29">
      <c r="A29" t="inlineStr">
        <is>
          <t>E12</t>
        </is>
      </c>
      <c r="B29" t="inlineStr">
        <is>
          <t>Admin &amp; Support Backoffice</t>
        </is>
      </c>
      <c r="C29">
        <f>SUMIFS('User Stories'!$H$2:$H$200,'User Stories'!$B$2:$B$200,$A29,'User Stories'!$I$2:$I$200,"MVP")</f>
        <v/>
      </c>
      <c r="D29">
        <f>SUMIF('User Stories'!$B$2:$B$200,$A29,'User Stories'!$H$2:$H$200)</f>
        <v/>
      </c>
    </row>
    <row r="30">
      <c r="A30" t="inlineStr">
        <is>
          <t>E13</t>
        </is>
      </c>
      <c r="B30" t="inlineStr">
        <is>
          <t>Analytics, Growth &amp; ASO</t>
        </is>
      </c>
      <c r="C30">
        <f>SUMIFS('User Stories'!$H$2:$H$200,'User Stories'!$B$2:$B$200,$A30,'User Stories'!$I$2:$I$200,"MVP")</f>
        <v/>
      </c>
      <c r="D30">
        <f>SUMIF('User Stories'!$B$2:$B$200,$A30,'User Stories'!$H$2:$H$200)</f>
        <v/>
      </c>
    </row>
    <row r="31">
      <c r="A31" t="inlineStr">
        <is>
          <t>E14</t>
        </is>
      </c>
      <c r="B31" t="inlineStr">
        <is>
          <t>Quality, Security &amp; Release Engineering</t>
        </is>
      </c>
      <c r="C31">
        <f>SUMIFS('User Stories'!$H$2:$H$200,'User Stories'!$B$2:$B$200,$A31,'User Stories'!$I$2:$I$200,"MVP")</f>
        <v/>
      </c>
      <c r="D31">
        <f>SUMIF('User Stories'!$B$2:$B$200,$A31,'User Stories'!$H$2:$H$200)</f>
        <v/>
      </c>
    </row>
    <row r="32">
      <c r="A32" t="inlineStr">
        <is>
          <t>E15</t>
        </is>
      </c>
      <c r="B32" t="inlineStr">
        <is>
          <t>Post-MVP: Matchmaking, Horoscopes &amp; Consultations</t>
        </is>
      </c>
      <c r="C32">
        <f>SUMIFS('User Stories'!$H$2:$H$200,'User Stories'!$B$2:$B$200,$A32,'User Stories'!$I$2:$I$200,"MVP")</f>
        <v/>
      </c>
      <c r="D32">
        <f>SUMIF('User Stories'!$B$2:$B$200,$A32,'User Stories'!$H$2:$H$200)</f>
        <v/>
      </c>
    </row>
    <row r="33">
      <c r="B33" s="3" t="inlineStr">
        <is>
          <t>TOTAL</t>
        </is>
      </c>
      <c r="C33" s="3">
        <f>SUM(C17:C32)</f>
        <v/>
      </c>
      <c r="D33" s="3">
        <f>SUM(D17:D32)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2026-08-01T18:37:42Z</dcterms:created>
  <dcterms:modified xsi:type="dcterms:W3CDTF">2026-08-02T18:47:22Z</dcterms:modified>
</cp:coreProperties>
</file>